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ecnalia365-my.sharepoint.com/personal/inigo_arana_tecnalia_com/Documents/Escritorio/Personal/Cursor_Web/"/>
    </mc:Choice>
  </mc:AlternateContent>
  <xr:revisionPtr revIDLastSave="4744" documentId="11_180DE2EEB12A76AE30F8224BFABDEE52E13E727D" xr6:coauthVersionLast="47" xr6:coauthVersionMax="47" xr10:uidLastSave="{B2797C0C-6C48-4DB2-9587-481A429BD38D}"/>
  <bookViews>
    <workbookView xWindow="-110" yWindow="-110" windowWidth="19420" windowHeight="10300" xr2:uid="{00000000-000D-0000-FFFF-FFFF00000000}"/>
  </bookViews>
  <sheets>
    <sheet name="Negocios" sheetId="1" r:id="rId1"/>
    <sheet name="Gu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H4" i="1"/>
  <c r="E4" i="1"/>
  <c r="B4" i="1"/>
  <c r="AL56" i="1"/>
  <c r="AL47" i="1"/>
  <c r="AL66" i="1"/>
  <c r="AL65" i="1"/>
  <c r="AL64" i="1"/>
  <c r="AL63" i="1"/>
  <c r="AL62" i="1"/>
  <c r="AL61" i="1"/>
  <c r="AL60" i="1"/>
  <c r="AL59" i="1"/>
  <c r="AL58" i="1"/>
  <c r="AL57" i="1"/>
  <c r="AL25" i="1"/>
  <c r="AL55" i="1"/>
  <c r="AL54" i="1"/>
  <c r="AL53" i="1"/>
  <c r="AL52" i="1"/>
  <c r="AL46" i="1"/>
  <c r="AL17" i="1"/>
  <c r="AL45" i="1"/>
  <c r="AL37" i="1"/>
  <c r="AL32" i="1"/>
  <c r="AL28" i="1"/>
  <c r="AL23" i="1"/>
  <c r="AL19" i="1"/>
  <c r="AL18" i="1"/>
  <c r="AL11" i="1"/>
  <c r="AL51" i="1"/>
  <c r="AL44" i="1"/>
  <c r="AL31" i="1"/>
  <c r="AL16" i="1"/>
  <c r="AL14" i="1"/>
  <c r="AL27" i="1"/>
  <c r="AL36" i="1"/>
  <c r="AL50" i="1"/>
  <c r="AL49" i="1"/>
  <c r="AL48" i="1"/>
  <c r="AL43" i="1"/>
  <c r="AL42" i="1"/>
  <c r="AL41" i="1"/>
  <c r="AL40" i="1"/>
  <c r="AL39" i="1"/>
  <c r="AL38" i="1"/>
  <c r="AL35" i="1"/>
  <c r="AL34" i="1"/>
  <c r="AL33" i="1"/>
  <c r="AL30" i="1"/>
  <c r="AL29" i="1"/>
  <c r="AL26" i="1"/>
  <c r="AL24" i="1"/>
  <c r="AL22" i="1"/>
  <c r="AL21" i="1"/>
  <c r="AL20" i="1"/>
  <c r="AL15" i="1"/>
  <c r="AL13" i="1"/>
  <c r="AL12" i="1"/>
  <c r="AL10" i="1"/>
  <c r="AL9" i="1"/>
  <c r="AL8" i="1"/>
  <c r="AL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</calcChain>
</file>

<file path=xl/sharedStrings.xml><?xml version="1.0" encoding="utf-8"?>
<sst xmlns="http://schemas.openxmlformats.org/spreadsheetml/2006/main" count="2320" uniqueCount="776">
  <si>
    <t>Registro de negocios</t>
  </si>
  <si>
    <t>Lotes de 5 · Prioridad por puntuación · Checklist válida por etapa</t>
  </si>
  <si>
    <t>Registros</t>
  </si>
  <si>
    <t>Investigados</t>
  </si>
  <si>
    <t>Seleccionados</t>
  </si>
  <si>
    <t>Terminados</t>
  </si>
  <si>
    <t>ID</t>
  </si>
  <si>
    <t>Campaña</t>
  </si>
  <si>
    <t>Lote</t>
  </si>
  <si>
    <t>Negocio</t>
  </si>
  <si>
    <t>Categoría</t>
  </si>
  <si>
    <t>Dirección</t>
  </si>
  <si>
    <t>Municipio</t>
  </si>
  <si>
    <t>Zona</t>
  </si>
  <si>
    <t>Actividad</t>
  </si>
  <si>
    <t>Confianza</t>
  </si>
  <si>
    <t>Presencia web</t>
  </si>
  <si>
    <t>URL web</t>
  </si>
  <si>
    <t>Carta digital</t>
  </si>
  <si>
    <t>Reservas online</t>
  </si>
  <si>
    <t>Pedidos online</t>
  </si>
  <si>
    <t>Venta productos</t>
  </si>
  <si>
    <t>Fidelización</t>
  </si>
  <si>
    <t>Grupos eventos</t>
  </si>
  <si>
    <t>App externa</t>
  </si>
  <si>
    <t>Herramientas y enlaces</t>
  </si>
  <si>
    <t>Bien resuelto</t>
  </si>
  <si>
    <t>Fricción observada</t>
  </si>
  <si>
    <t>Oportunidades preliminares</t>
  </si>
  <si>
    <t>Encaje innovador</t>
  </si>
  <si>
    <t>Fuentes URL</t>
  </si>
  <si>
    <t>Fecha revisión</t>
  </si>
  <si>
    <t>Expediente</t>
  </si>
  <si>
    <t>Decisión selección</t>
  </si>
  <si>
    <t>Motivo selección o bloqueo</t>
  </si>
  <si>
    <t>Estado operativo</t>
  </si>
  <si>
    <t>Necesidad 1-10</t>
  </si>
  <si>
    <t>Valor añadido 1-10</t>
  </si>
  <si>
    <t>Información 1-10</t>
  </si>
  <si>
    <t>Mantenibilidad 1-10</t>
  </si>
  <si>
    <t>Contacto 1-10</t>
  </si>
  <si>
    <t>Motivo puntuación</t>
  </si>
  <si>
    <t>Puntuación 1-10</t>
  </si>
  <si>
    <t>1 Investigación</t>
  </si>
  <si>
    <t>7 Mensajero</t>
  </si>
  <si>
    <t>Uso y puntuación</t>
  </si>
  <si>
    <t>Pesos de puntuación</t>
  </si>
  <si>
    <t>Criterio</t>
  </si>
  <si>
    <t>Necesidad</t>
  </si>
  <si>
    <t>Valor añadido</t>
  </si>
  <si>
    <t>Información</t>
  </si>
  <si>
    <t>Mantenibilidad</t>
  </si>
  <si>
    <t>Contacto</t>
  </si>
  <si>
    <t>Peso</t>
  </si>
  <si>
    <t>Ancla</t>
  </si>
  <si>
    <t>1</t>
  </si>
  <si>
    <t>Necesidades bien cubiertas</t>
  </si>
  <si>
    <t>Sin mejora diferencial</t>
  </si>
  <si>
    <t>Datos escasos o contradictorios</t>
  </si>
  <si>
    <t>Alta carga operativa o soporte</t>
  </si>
  <si>
    <t>Sin canal localizado</t>
  </si>
  <si>
    <t>5</t>
  </si>
  <si>
    <t>Fricción plausible parcial</t>
  </si>
  <si>
    <t>Mecanismo plausible por validar</t>
  </si>
  <si>
    <t>Identidad y oferta contrastadas</t>
  </si>
  <si>
    <t>Revisiones e integración acotables</t>
  </si>
  <si>
    <t>Canal profesional publicado</t>
  </si>
  <si>
    <t>10</t>
  </si>
  <si>
    <t>Problema relevante acreditado</t>
  </si>
  <si>
    <t>Mejora específica con evidencia</t>
  </si>
  <si>
    <t>Datos actuales para personalizar</t>
  </si>
  <si>
    <t>Entrega repetible y carga baja</t>
  </si>
  <si>
    <t>Canal y responsable acreditados</t>
  </si>
  <si>
    <t>Nota</t>
  </si>
  <si>
    <t>Media ponderada de cinco factores enteros 1–10, redondeada a un decimal. No es probabilidad de venta.</t>
  </si>
  <si>
    <t>Datos ausentes</t>
  </si>
  <si>
    <t>Si falta ID o un factor, la nota queda vacía. No sustituir desconocidos por ceros o un 5 neutro.</t>
  </si>
  <si>
    <t>Sí / No</t>
  </si>
  <si>
    <t>Sí = etapa completada y vigente. No = pendiente, bloqueada o por revisar; ver Estado operativo y motivo.</t>
  </si>
  <si>
    <t>Selección</t>
  </si>
  <si>
    <t>La casilla 2 indica evaluación terminada. Solo Decisión selección = Seleccionado permite continuar a 3.</t>
  </si>
  <si>
    <t>Servicios digitales</t>
  </si>
  <si>
    <t>Sí = observado. No confirmado = anunciado o no verificable. No localizado no demuestra inexistencia.</t>
  </si>
  <si>
    <t>Prioridad</t>
  </si>
  <si>
    <t>2 elige pendientes por nota descendente. Empates: fecha más antigua, después ID. Conserva un activo pendiente.</t>
  </si>
  <si>
    <t>Nueva investigación</t>
  </si>
  <si>
    <t>1 añade hasta cinco nuevos por lote. Consultar todos los IDs e identidades, también en otras campañas.</t>
  </si>
  <si>
    <t>Guardado</t>
  </si>
  <si>
    <t>Cerrar este libro antes de que Cursor escriba. No usar simultáneamente desde dos equipos.</t>
  </si>
  <si>
    <t>Historial</t>
  </si>
  <si>
    <t>No borrar filas ni reutilizar IDs. Cambios relevantes reabren únicamente etapas afectadas del mismo negocio.</t>
  </si>
  <si>
    <t>Fila nueva</t>
  </si>
  <si>
    <t>Usar la primera fila sin ID. Ampliar tabla, fórmula y validaciones cuando se agoten las 200 preparadas.</t>
  </si>
  <si>
    <t>Fuentes</t>
  </si>
  <si>
    <t>URLs en Fuentes URL y detalle de afirmaciones/versiones en el expediente. No hay negocios precargados.</t>
  </si>
  <si>
    <t>Límite de campaña</t>
  </si>
  <si>
    <t>20 negocios inicialmente; 5 por ejecución. El registro conserva otras campañas y evita duplicados.</t>
  </si>
  <si>
    <t>No</t>
  </si>
  <si>
    <t>Pendiente</t>
  </si>
  <si>
    <t>indh001</t>
  </si>
  <si>
    <t>indautxu-hosteleria-001</t>
  </si>
  <si>
    <t>lote-001</t>
  </si>
  <si>
    <t>Asador Indusi</t>
  </si>
  <si>
    <t>Restaurante</t>
  </si>
  <si>
    <t>García Rivero, 7</t>
  </si>
  <si>
    <t>Bilbao</t>
  </si>
  <si>
    <t>Dentro</t>
  </si>
  <si>
    <t>Activa con evidencia</t>
  </si>
  <si>
    <t>Alta</t>
  </si>
  <si>
    <t>Propia</t>
  </si>
  <si>
    <t>https://www.asadorindusi.com/</t>
  </si>
  <si>
    <t>No localizado</t>
  </si>
  <si>
    <t>No confirmado</t>
  </si>
  <si>
    <t>No aplica</t>
  </si>
  <si>
    <t>Web propia asadorindusi.com; reserva declarada WhatsApp/email</t>
  </si>
  <si>
    <t>Identidad, contacto y propuesta asador claros en web oficial.</t>
  </si>
  <si>
    <t>Sin carta/precios online; reserva no autogestionada.</t>
  </si>
  <si>
    <t>Formulario reserva web + carta mínima (rol 4: volumen reservas).</t>
  </si>
  <si>
    <t>Posible</t>
  </si>
  <si>
    <t>https://www.asadorindusi.com/ | https://bilbaoclick.com/asador-indusi-cocina-autentica-vasca-en_centro-bilbao/</t>
  </si>
  <si>
    <t>Disponible</t>
  </si>
  <si>
    <t>Identidad sólida; fricción carta/reserva digital parcial; contacto profesional claro.</t>
  </si>
  <si>
    <t>Sí</t>
  </si>
  <si>
    <t>indh002</t>
  </si>
  <si>
    <t>Café Bahía</t>
  </si>
  <si>
    <t>Bar</t>
  </si>
  <si>
    <t>Manuel Allende, 12</t>
  </si>
  <si>
    <t>https://cafebahiabilbao.com/</t>
  </si>
  <si>
    <t>Web propia cafebahiabilbao.com</t>
  </si>
  <si>
    <t>Marca y propuesta (vermut/tardeo) bien comunicadas.</t>
  </si>
  <si>
    <t>Oferta de barra no digitalizada.</t>
  </si>
  <si>
    <t>Carta mínima u oferta tarde actualizable (rol 4: redes actuales).</t>
  </si>
  <si>
    <t>Web clara pero poca información operativa; barra típica sin reserva.</t>
  </si>
  <si>
    <t>indh003</t>
  </si>
  <si>
    <t>Bar Alondegui</t>
  </si>
  <si>
    <t>Fernández del Campo, 35</t>
  </si>
  <si>
    <t>https://alondegui.com/</t>
  </si>
  <si>
    <t>alondegui.com; Google Analytics (cookies); Instagram mencionado</t>
  </si>
  <si>
    <t>Horario, terraza y contacto email en nota legal.</t>
  </si>
  <si>
    <t>Barra sin precios online; redes sin URL en home.</t>
  </si>
  <si>
    <t>—</t>
  </si>
  <si>
    <t>https://alondegui.com/ | https://alondegui.com/nuestra-barra-pintxos-raciones/</t>
  </si>
  <si>
    <t>Presencia web estándar; oportunidad incremental no prioritaria aquí.</t>
  </si>
  <si>
    <t>indh004</t>
  </si>
  <si>
    <t>Indautxu Batzokia</t>
  </si>
  <si>
    <t>Indautxu Kalea, 7</t>
  </si>
  <si>
    <t>https://indautxubatzokia.com/</t>
  </si>
  <si>
    <t>indautxubatzokia.com/la-carta; formulario solicitud reserva</t>
  </si>
  <si>
    <t>Carta amplia con precios online; teléfonos publicados.</t>
  </si>
  <si>
    <t>Reserva no instantánea; carta muy extensa (móvil no medido).</t>
  </si>
  <si>
    <t>No evidente</t>
  </si>
  <si>
    <t>https://indautxubatzokia.com/ | https://indautxubatzokia.com/la-carta</t>
  </si>
  <si>
    <t>Alta cobertura digital; poca necesidad incremental visible en esta pasada.</t>
  </si>
  <si>
    <t>indh005</t>
  </si>
  <si>
    <t>Bodega Indautxu</t>
  </si>
  <si>
    <t>Gregorio de la Revilla, 18</t>
  </si>
  <si>
    <t>Media</t>
  </si>
  <si>
    <t>Solo terceros</t>
  </si>
  <si>
    <t>bilbaodendak.eus/comercios/bodega-indautxu; bilbaoalacarta.com</t>
  </si>
  <si>
    <t>Reputación offline documentada; teléfono/email en ficha municipal.</t>
  </si>
  <si>
    <t>Sin web/carta propia; descubrimiento vía terceros.</t>
  </si>
  <si>
    <t>Web mínima propia + premios/especialidades (rol 4: Google Business).</t>
  </si>
  <si>
    <t>Claro</t>
  </si>
  <si>
    <t>https://www.bilbaodendak.eus/comercios/bodega-indautxu/ | https://bilbaoalacarta.com/restaurante-bilbao/indatxu/</t>
  </si>
  <si>
    <t>Terraza</t>
  </si>
  <si>
    <t>Sin información</t>
  </si>
  <si>
    <t>indh006</t>
  </si>
  <si>
    <t>lote-002</t>
  </si>
  <si>
    <t>Cork</t>
  </si>
  <si>
    <t>Licenciado Poza, 45</t>
  </si>
  <si>
    <t>https://corkbilbao.com/</t>
  </si>
  <si>
    <t>Web propia corkbilbao.com</t>
  </si>
  <si>
    <t>Wine bar referencia; contacto profesional en web.</t>
  </si>
  <si>
    <t>Sin carta ni reserva digital en web propia.</t>
  </si>
  <si>
    <t>Carta vinos/pintxos online (rol 4: canal QR/Instagram).</t>
  </si>
  <si>
    <t>https://corkbilbao.com/ | https://culinarybackstreets.com/stories/bilbao/cork-a-bilbao-bar-for-wine-and-basque-cooking</t>
  </si>
  <si>
    <t>Identidad clara; web breve sin carta; buen contacto publicado.</t>
  </si>
  <si>
    <t>indh007</t>
  </si>
  <si>
    <t>El Puertito Oyster Bar</t>
  </si>
  <si>
    <t>García Rivero Maisuaren Kalea, 9</t>
  </si>
  <si>
    <t>https://www.elpuertito.es/</t>
  </si>
  <si>
    <t>elpuertito.es; catering eventos en web</t>
  </si>
  <si>
    <t>Marca ostras clara; sede Bilbao en web corporativa.</t>
  </si>
  <si>
    <t>Sin precios ni reserva online en canal propio.</t>
  </si>
  <si>
    <t>Landing reserva/disponibilidad Bilbao (rol 4: mix reserva/walk-in).</t>
  </si>
  <si>
    <t>https://www.elpuertito.es/ | https://verybilbao.com/comercios/el-puertito/</t>
  </si>
  <si>
    <t>Buena identidad de marca; fricción carta/reserva; contacto web claro.</t>
  </si>
  <si>
    <t>indh008</t>
  </si>
  <si>
    <t>Bar Joserra</t>
  </si>
  <si>
    <t>Particular de Indautxu, 4</t>
  </si>
  <si>
    <t>Plataforma</t>
  </si>
  <si>
    <t>https://bar-joserra.eatbu.com/?lang=es</t>
  </si>
  <si>
    <t>Eatbu; Instagram @barjoserra_indautxu (citado)</t>
  </si>
  <si>
    <t>Bar clásico Indautxu; contacto en Eatbu; terraza declarada.</t>
  </si>
  <si>
    <t>Sin web propia ni carta con precios online.</t>
  </si>
  <si>
    <t>Web mínima propia + carta (rol 4: homónimos Casco Viejo).</t>
  </si>
  <si>
    <t>https://bar-joserra.eatbu.com/?lang=es | https://bizkaikotortillakopa.eus/joserra-bar_2025/</t>
  </si>
  <si>
    <t>indh009</t>
  </si>
  <si>
    <t>Ramen Shifu Indautxu</t>
  </si>
  <si>
    <t>Alameda Urquijo, 44</t>
  </si>
  <si>
    <t>https://www.ramenshifu.com/ramen-shifu-indautxu/</t>
  </si>
  <si>
    <t>ramenshifu.com carta; reservas tel. en /reservas</t>
  </si>
  <si>
    <t>Carta online completa con precios; horarios publicados.</t>
  </si>
  <si>
    <t>Reserva Indautxu solo telefónica; cadena centralizada.</t>
  </si>
  <si>
    <t>-</t>
  </si>
  <si>
    <t>https://www.ramenshifu.com/ramen-shifu-indautxu/ | https://www.ramenshifu.com/reservas/</t>
  </si>
  <si>
    <t>Alta cobertura digital de cadena; poco margen incremental local.</t>
  </si>
  <si>
    <t>indh010</t>
  </si>
  <si>
    <t>Mugi</t>
  </si>
  <si>
    <t>Licenciado Poza, 55</t>
  </si>
  <si>
    <t>Dominio inactivo</t>
  </si>
  <si>
    <t>barmugi.com secuestrado; Instagram @el_mugi_bilbao; Jantour</t>
  </si>
  <si>
    <t>Solera Pozas documentada; teléfono coherente en guías.</t>
  </si>
  <si>
    <t>Dominio histórico inactivo; sin carta fiable online.</t>
  </si>
  <si>
    <t>Recuperar web + carta mínima (rol 4: dominio barmugi.com).</t>
  </si>
  <si>
    <t>https://www.barmugi.com/ | https://jantour.elcorreo.com/restaurante/mugi.html</t>
  </si>
  <si>
    <t>indh011</t>
  </si>
  <si>
    <t>lote-003</t>
  </si>
  <si>
    <t>Bar Alameda</t>
  </si>
  <si>
    <t>Alameda Urquijo, 40</t>
  </si>
  <si>
    <t>indh012</t>
  </si>
  <si>
    <t>Ondori Indautxu</t>
  </si>
  <si>
    <t>indh013</t>
  </si>
  <si>
    <t>Bierstube by H. Thate</t>
  </si>
  <si>
    <t>Licenciado Poza, 50</t>
  </si>
  <si>
    <t>indh014</t>
  </si>
  <si>
    <t>Bar Restaurante Al Lío</t>
  </si>
  <si>
    <t>García Rivero, 9</t>
  </si>
  <si>
    <t>indh015</t>
  </si>
  <si>
    <t>Gangnam Korean BBQ Bilbao</t>
  </si>
  <si>
    <t>Alameda San Mamés, 43</t>
  </si>
  <si>
    <t>baralameda.es (inaccesible sesión); Bilbao Turismo; BAO</t>
  </si>
  <si>
    <t>Clásico bilbaíno; dirección y teléfono coherentes en guías.</t>
  </si>
  <si>
    <t>Restaurar web mínima + carta estrella (rol 4: dominio baralameda.es).</t>
  </si>
  <si>
    <t>https://www.baobilbao.com/bar-alameda-felipadas-y-platos-tradicionales/ | https://www.bilbaoturismo.net/BilbaoTurismo/es/buscador-de-pintxos/alameda</t>
  </si>
  <si>
    <t>Particular de Indautxu</t>
  </si>
  <si>
    <t>Solo redes</t>
  </si>
  <si>
    <t>Instagram @ondoribotxo; prensa El Correo/Deia</t>
  </si>
  <si>
    <t>Propuesta vasco-asiática diferenciada; cobertura prensa reciente.</t>
  </si>
  <si>
    <t>Sin web sede Indautxu; portal exacto no unificado.</t>
  </si>
  <si>
    <t>Microsite Indautxu + carta digital (rol 4: separar de Botxo Casco Viejo).</t>
  </si>
  <si>
    <t>https://www.deia.eus/bilbao/2025/03/05/ondori-indautxu-jurgi-arejita-centro-bilbao-9356637.html | https://www.elcorreo.com/jantour/restaurantes/bocados-vasco-orientales-centro-villa-20250315193124-nt.html</t>
  </si>
  <si>
    <t>Jantour; Instagram @bierstube_bilbao</t>
  </si>
  <si>
    <t>Propuesta cervecera clara; teléfono 944673642; terraza en Pozas.</t>
  </si>
  <si>
    <t>Sin web propia; carta solo en prensa/redes.</t>
  </si>
  <si>
    <t>Landing Pozas carta/eventos (rol 4: coordinación marca Thate).</t>
  </si>
  <si>
    <t>https://jantour.elcorreo.com/restaurante/bierstube-by-h-thate.html | https://www.deia.eus/bizkaia/vida-social/2025/02/07/hermanos-thate-bar-licenciado-poza-bilbao-9250026.html</t>
  </si>
  <si>
    <t>https://alliobilbao.com/</t>
  </si>
  <si>
    <t>alliobilbao.com</t>
  </si>
  <si>
    <t>Web con precios y promos semanales; email hola@alliobilbao.com.</t>
  </si>
  <si>
    <t>Misma dirección que El Puertito; reserva no online.</t>
  </si>
  <si>
    <t>Carta online ya resuelta; margen incremental bajo.</t>
  </si>
  <si>
    <t>Instagram @gangnam_indautxu; tablet en sala (Deia)</t>
  </si>
  <si>
    <t>Experiencia digital en mesa; turnos y reserva teléfono documentados.</t>
  </si>
  <si>
    <t>Sin web pública ni reserva online.</t>
  </si>
  <si>
    <t>https://www.deia.eus/gastronomia/2025/02/08/sabrosa-experiencia-bufe-barbacoa-coreana-9248114.html | https://www.instagram.com/gangnam_indautxu/</t>
  </si>
  <si>
    <t>Operativa digital fuerte in situ; poco margen web externa.</t>
  </si>
  <si>
    <t>Seleccionado</t>
  </si>
  <si>
    <t>Mejor nota (6,8); encaje claro; web propia + carta vs Eatbu.</t>
  </si>
  <si>
    <t>En curso</t>
  </si>
  <si>
    <t>Descartado</t>
  </si>
  <si>
    <t>Operativa muy tradicional; urgencia digital menor que alternativas encaje claro.</t>
  </si>
  <si>
    <t>Dominio barmugi.com inactivo/spam; web mínima en espera tras activo.</t>
  </si>
  <si>
    <t>expedientes/0001_Indusi</t>
  </si>
  <si>
    <t>expedientes/0002_Bahia</t>
  </si>
  <si>
    <t>expedientes/0003_Alondegui</t>
  </si>
  <si>
    <t>expedientes/0004_Batzokia</t>
  </si>
  <si>
    <t>expedientes/0005_Bodega</t>
  </si>
  <si>
    <t>expedientes/0006_Cork</t>
  </si>
  <si>
    <t>expedientes/0007_Puertito</t>
  </si>
  <si>
    <t>expedientes/0008_Joserra</t>
  </si>
  <si>
    <t>expedientes/0009_RamenShifu</t>
  </si>
  <si>
    <t>expedientes/0010_Mugi</t>
  </si>
  <si>
    <t>expedientes/0011_Alameda</t>
  </si>
  <si>
    <t>expedientes/0012_Ondori</t>
  </si>
  <si>
    <t>expedientes/0013_Bierstube</t>
  </si>
  <si>
    <t>expedientes/0014_AlLio</t>
  </si>
  <si>
    <t>expedientes/0015_Gangnam</t>
  </si>
  <si>
    <t>Impacto post 1-10</t>
  </si>
  <si>
    <t>Motivo impacto post</t>
  </si>
  <si>
    <t>2 Webscraper</t>
  </si>
  <si>
    <t>3 Innovador</t>
  </si>
  <si>
    <t>4 Demo</t>
  </si>
  <si>
    <t>5 Comercial</t>
  </si>
  <si>
    <t>6 Valoración</t>
  </si>
  <si>
    <t>Post demo/comercial: web propia suma SEO, homónimos y carta/horario vs Eatbu; demos A/B e infografía v3 validadas. Techo por Eatbu existente, sin reserva en v1, conversión incierta. seguir_7_mensajero.</t>
  </si>
  <si>
    <t>indh016</t>
  </si>
  <si>
    <t>lote-004</t>
  </si>
  <si>
    <t>Guruzu</t>
  </si>
  <si>
    <t>Manuel Allende, 10</t>
  </si>
  <si>
    <t>expedientes/0016_Guruzu</t>
  </si>
  <si>
    <t>indh017</t>
  </si>
  <si>
    <t>Larragán Berria</t>
  </si>
  <si>
    <t>García Rivero, 10</t>
  </si>
  <si>
    <t>expedientes/0017_LarraganBerria</t>
  </si>
  <si>
    <t>indh018</t>
  </si>
  <si>
    <t>Bølge Café</t>
  </si>
  <si>
    <t>Cafetería</t>
  </si>
  <si>
    <t>Licenciado Poza, 14</t>
  </si>
  <si>
    <t>expedientes/0018_Bolge</t>
  </si>
  <si>
    <t>indh019</t>
  </si>
  <si>
    <t>Ziripot</t>
  </si>
  <si>
    <t>Licenciado Poza, 46</t>
  </si>
  <si>
    <t>expedientes/0019_Ziripot</t>
  </si>
  <si>
    <t>indh020</t>
  </si>
  <si>
    <t>Martxobi (MARTXO bi)</t>
  </si>
  <si>
    <t>Alameda Urquijo, 48</t>
  </si>
  <si>
    <t>expedientes/0020_Martxobi</t>
  </si>
  <si>
    <t>https://guruzu.eus/</t>
  </si>
  <si>
    <t>guruzu.eus; /reserva/; menú del día online</t>
  </si>
  <si>
    <t>Web completa: menús, reserva, horarios, misión social.</t>
  </si>
  <si>
    <t>Varios teléfonos; tarjeta social poco detallada en web.</t>
  </si>
  <si>
    <t>Unificar reserva + FAQ tarjeta (rol 4: mix formulario/teléfono).</t>
  </si>
  <si>
    <t>https://guruzu.eus/ | https://guruzu.eus/reserva/ | https://guruzu.eus/oferta-gastronomica/menu-del-dia/</t>
  </si>
  <si>
    <t>Canal digital maduro; margen en reserva unificada y programa social.</t>
  </si>
  <si>
    <t>El Correo sep/2026; Disfruta Bizkaia (histórico); tel. 944415069 no verificado</t>
  </si>
  <si>
    <t>Marca histórica; reapertura documentada en prensa reciente.</t>
  </si>
  <si>
    <t>Sin web propia; fichas online desactualizadas mezclan etapas.</t>
  </si>
  <si>
    <t>Landing Larragán Berria + SEO García Rivero (rol 4: carta Galicia vs clásicos).</t>
  </si>
  <si>
    <t>https://www.elcorreo.com/bizkaia/historico-restaurante-larragan-regresa-impulsar-hosteleria-indautxu-20260923010312-nt.html | https://www.disfrutabizkaia.com/establecimiento/larragan-cafeteria/</t>
  </si>
  <si>
    <t>https://www.bolgecafe.com/</t>
  </si>
  <si>
    <t>bolgecafe.com; Disfruta Bizkaia (605389074)</t>
  </si>
  <si>
    <t>Marca specialty y horarios claros en web.</t>
  </si>
  <si>
    <t>Sin precios/carta online pese a web cuidada.</t>
  </si>
  <si>
    <t>Carta digital en dominio existente (rol 4: pedido WhatsApp).</t>
  </si>
  <si>
    <t>https://www.bolgecafe.com/ | https://www.disfrutabizkaia.com/establecimiento/bolge-cafe/</t>
  </si>
  <si>
    <t>Web sólida; salto a carta online es incremental.</t>
  </si>
  <si>
    <t>https://www.ziripot.es/</t>
  </si>
  <si>
    <t>ziripot.es (historia, horarios, terraza)</t>
  </si>
  <si>
    <t>Web con identidad, terraza y horarios amplios.</t>
  </si>
  <si>
    <t>https://www.martxo.com/</t>
  </si>
  <si>
    <t>martxo.com; /carta-1; landing Martxo bi; tel. 613621018</t>
  </si>
  <si>
    <t>Carta con precios online; segunda sede identificada.</t>
  </si>
  <si>
    <t>Contacto/reserva web centrada en sede Rodríguez Arias.</t>
  </si>
  <si>
    <t>Contacto bifurcado BGC vs Indautxu (rol 4: reservas sede).</t>
  </si>
  <si>
    <t>https://www.martxo.com/carta-1 | https://www.deia.eus/bilbao/2026/07/15/restaurante-martxo-bilbao-amplia-presencia-apertura-11331702.html</t>
  </si>
  <si>
    <t>Carta digital fuerte; fricción en reserva multi-sede.</t>
  </si>
  <si>
    <t>indh021</t>
  </si>
  <si>
    <t>lote-005</t>
  </si>
  <si>
    <t>El Huevo Frito</t>
  </si>
  <si>
    <t>García Rivero, 1</t>
  </si>
  <si>
    <t>expedientes/0021_HuevoFrito</t>
  </si>
  <si>
    <t>indh022</t>
  </si>
  <si>
    <t>Bar Txistua</t>
  </si>
  <si>
    <t>García Rivero, 4</t>
  </si>
  <si>
    <t>expedientes/0022_Txistua</t>
  </si>
  <si>
    <t>indh023</t>
  </si>
  <si>
    <t>Bar Okela</t>
  </si>
  <si>
    <t>García Rivero, 8</t>
  </si>
  <si>
    <t>expedientes/0023_Okela</t>
  </si>
  <si>
    <t>indh024</t>
  </si>
  <si>
    <t>Zaka Restaurante</t>
  </si>
  <si>
    <t>Simón Bolívar, 11</t>
  </si>
  <si>
    <t>expedientes/0024_Zaka</t>
  </si>
  <si>
    <t>indh025</t>
  </si>
  <si>
    <t>Bar Particular</t>
  </si>
  <si>
    <t>Indautxu Kalea, 9</t>
  </si>
  <si>
    <t>expedientes/0025_Particular</t>
  </si>
  <si>
    <t>elhuevofrito.com; Salir.com (944412249, info@elhuevofrito.com)</t>
  </si>
  <si>
    <t>http://www.elhuevofrito.com/ | https://www.salir.com/el-huevo-frito-bilbao-neg-2024.html</t>
  </si>
  <si>
    <t>Citiservi 944420837; Pidemesa 617064107</t>
  </si>
  <si>
    <t>Ubicación clara en García Rivero; perfil bar/café.</t>
  </si>
  <si>
    <t>Sin web; horarios contradictorios en agregadores.</t>
  </si>
  <si>
    <t>Landing horario/teléfono (rol 4: café vs barra).</t>
  </si>
  <si>
    <t>https://www.citiservi.es/vizcaya/txistua-bilbao__2732449_464.html | https://pidemesa.es/restaurantes/bizkaia/bilbao/bar-txistua</t>
  </si>
  <si>
    <t>https://www.okelabilbao.com/</t>
  </si>
  <si>
    <t>okelabilbao.com; barokela.com (citado, no verificado); Disfruta Bizkaia</t>
  </si>
  <si>
    <t>Marca desde 1983; web con horario y teléfono; referencias venta online pionera.</t>
  </si>
  <si>
    <t>Dominios/teléfonos dispersos; shop no accesible en sesión.</t>
  </si>
  <si>
    <t>Hub único marca+pedidos (rol 4: mix barra/e-commerce).</t>
  </si>
  <si>
    <t>https://www.okelabilbao.com/ | https://www.disfrutabizkaia.com/establecimiento/okela-bar/</t>
  </si>
  <si>
    <t>Canal digital avanzado; mejora incremental menor.</t>
  </si>
  <si>
    <t>https://zakarestaurante.com/</t>
  </si>
  <si>
    <t>zakarestaurante.com; Deia; tel. 944014561</t>
  </si>
  <si>
    <t>Horarios amplios en web; propuesta gastrobar clara.</t>
  </si>
  <si>
    <t>Sin carta/menú con precios online.</t>
  </si>
  <si>
    <t>Menú día y carta noche en web (rol 4: reserva tel vs plataforma).</t>
  </si>
  <si>
    <t>https://zakarestaurante.com/ | https://www.deia.eus/gastronomia/2022/05/06/zaka-bar-restaurante-caracter-polivante-1704809.html</t>
  </si>
  <si>
    <t>Web con huecos carta/reserva; operación madura.</t>
  </si>
  <si>
    <t>TodoBares (reseñas); Google citado en agregador</t>
  </si>
  <si>
    <t>Pinchos y terraza muy valorados en reseñas.</t>
  </si>
  <si>
    <t>Sin web ni teléfono claro en fuentes consultadas.</t>
  </si>
  <si>
    <t>Micrositio horario/especialidades (rol 4: terraza walk-in vs reserva).</t>
  </si>
  <si>
    <t>https://www.todobares.com/bar/bar-particular-bilbao/</t>
  </si>
  <si>
    <t>indh026</t>
  </si>
  <si>
    <t>lote-006</t>
  </si>
  <si>
    <t>Bilb8</t>
  </si>
  <si>
    <t>expedientes/0026_Bilb8</t>
  </si>
  <si>
    <t>indh027</t>
  </si>
  <si>
    <t>Café Originale</t>
  </si>
  <si>
    <t>Ercilla, 19</t>
  </si>
  <si>
    <t>expedientes/0027_Originale</t>
  </si>
  <si>
    <t>indh028</t>
  </si>
  <si>
    <t>Restaurante Olagarro (Rodríguez Arias)</t>
  </si>
  <si>
    <t>Rodríguez Arias, 64</t>
  </si>
  <si>
    <t>expedientes/0028_Olagarro</t>
  </si>
  <si>
    <t>indh029</t>
  </si>
  <si>
    <t>The Wicklow Arms</t>
  </si>
  <si>
    <t>Rodríguez Arias, 30</t>
  </si>
  <si>
    <t>expedientes/0029_Wicklow</t>
  </si>
  <si>
    <t>indh030</t>
  </si>
  <si>
    <t>Bar Gure</t>
  </si>
  <si>
    <t>Ercilla, 26</t>
  </si>
  <si>
    <t>expedientes/0030_Gure</t>
  </si>
  <si>
    <t>Instagram @bilbootxo; bilb8carta.com (404 sesión); Bilbao Centro 944972661 bilbotxo2024@gmail.com</t>
  </si>
  <si>
    <t>Cazuelitas y pica-pica con cobertura prensa 2024; terraza descrita.</t>
  </si>
  <si>
    <t>Carta web caída; mismo portal que Indusi (indh001).</t>
  </si>
  <si>
    <t>Micrositio carta/horario diferenciado Indusi (rol 4: accesos nº7).</t>
  </si>
  <si>
    <t>https://www.elcorreo.com/jantour/restaurantes/cazuelitas-recetario-tradicional-alegran-botxo-20241005012607-nt.html | https://www.bilbaocentro.com/es/comercios/bilb_8</t>
  </si>
  <si>
    <t>https://cafeoriginale.com/</t>
  </si>
  <si>
    <t>cafeoriginale.com/menu (imágenes); tel. 623356978</t>
  </si>
  <si>
    <t>Specialty coffee + brunch; web y menú online cuidados.</t>
  </si>
  <si>
    <t>Carta en JPG; sin reserva formal.</t>
  </si>
  <si>
    <t>Carta HTML accesible + señal espera fines de semana (rol 4).</t>
  </si>
  <si>
    <t>https://cafeoriginale.com/ | https://cafeoriginale.com/menu/</t>
  </si>
  <si>
    <t>Web propia madura; mejoras incrementales carta/reserva.</t>
  </si>
  <si>
    <t>https://restauranteolagarro.com/</t>
  </si>
  <si>
    <t>restauranteolagarro.com; Bilbao Dendak; tel. 944393215</t>
  </si>
  <si>
    <t>Referente pulpo/gallego; desayunos y barra pintxos; web multi-sede.</t>
  </si>
  <si>
    <t>Precios/carta poco visibles online; reserva telefónica.</t>
  </si>
  <si>
    <t>Landing sede 64 con menú/barra (rol 4: TheFork?).</t>
  </si>
  <si>
    <t>https://restauranteolagarro.com/ | https://www.bilbaodendak.eus/comercios/olagarro/</t>
  </si>
  <si>
    <t>Web propia con huecos transaccionales; cadena con varias sedes.</t>
  </si>
  <si>
    <t>https://www.facebook.com/pages/Wicklow-Arms/123987794330023</t>
  </si>
  <si>
    <t>Facebook; Schlouk Map; tel. 944425148</t>
  </si>
  <si>
    <t>Pub irlandés icónico; reputación Guinness; horarios amplios.</t>
  </si>
  <si>
    <t>Sin web propia; reservas inconsistentes en agregadores.</t>
  </si>
  <si>
    <t>Landing horario/reservas grupos (rol 4: mix local/turismo).</t>
  </si>
  <si>
    <t>https://www.schlouk-map.com/es/places/the-wicklow-arms | https://destaco.es/empresa/the-wicklow-arms-bilbao</t>
  </si>
  <si>
    <t>Marca fuerte; vitrina digital limitada a Facebook.</t>
  </si>
  <si>
    <t>Landing horario/desayuno (rol 4: sábados abierto?).</t>
  </si>
  <si>
    <t>Brief etapa 2 completado; mayor nota cola 6,8; sin web propia.</t>
  </si>
  <si>
    <t>indh031</t>
  </si>
  <si>
    <t>lote-007</t>
  </si>
  <si>
    <t>Marakay</t>
  </si>
  <si>
    <t>Rodríguez Arias, 26</t>
  </si>
  <si>
    <t>expedientes/0031_Marakay</t>
  </si>
  <si>
    <t>indh032</t>
  </si>
  <si>
    <t>Goizeko Izarra</t>
  </si>
  <si>
    <t>Gregorio de la Revilla, 9</t>
  </si>
  <si>
    <t>expedientes/0032_GoizekoIzarra</t>
  </si>
  <si>
    <t>indh033</t>
  </si>
  <si>
    <t>Restaurante Yandiola</t>
  </si>
  <si>
    <t>Plaza Arriquíbar, 4 (Azkuna Zentroa)</t>
  </si>
  <si>
    <t>Límite</t>
  </si>
  <si>
    <t>expedientes/0033_Yandiola</t>
  </si>
  <si>
    <t>indh034</t>
  </si>
  <si>
    <t>Restaurante Zarate</t>
  </si>
  <si>
    <t>Licenciado Poza, 65</t>
  </si>
  <si>
    <t>expedientes/0034_Zarate</t>
  </si>
  <si>
    <t>indh035</t>
  </si>
  <si>
    <t>Ados</t>
  </si>
  <si>
    <t>Licenciado Poza, 48</t>
  </si>
  <si>
    <t>expedientes/0035_Ados</t>
  </si>
  <si>
    <t>Bilbao Turismo; cafeteriasmarakay.es (500); cafeteriasmarakay@hotmail.es 944415066</t>
  </si>
  <si>
    <t>Marca clásica jamón/bocaditos; contacto en turismo oficial.</t>
  </si>
  <si>
    <t>Web propia inoperativa; fichas con dirección/teléfonos discordantes.</t>
  </si>
  <si>
    <t>Landing mínima horario + especialidad (rol 4: búsqueda local).</t>
  </si>
  <si>
    <t>https://www.bilbaoturismo.net/BilbaoTurismo/en/cafes--ice-cream-parlours-and-cake-shops/marakay | https://www.sluurpy.es/bilbao/restaurant/1836800/marakay</t>
  </si>
  <si>
    <t>https://goizekoizarra.es/</t>
  </si>
  <si>
    <t>goizekoizarra.es/carta; goizekoizarrarestaurante.com; restaurante@goizekoizarra.es</t>
  </si>
  <si>
    <t>Carta trilingüe con precios; propuesta txuletón/pintxos clara.</t>
  </si>
  <si>
    <t>Dos dominios/emails; reserva solo teléfono.</t>
  </si>
  <si>
    <t>Unificar web + reserva online (rol 4: llamadas).</t>
  </si>
  <si>
    <t>https://goizekoizarra.es/ | https://goizekoizarra.es/carta-goizeko-izarra/</t>
  </si>
  <si>
    <t>Carta online sólida; duplicidad webs reduce valor incremental.</t>
  </si>
  <si>
    <t>https://yandiola.com/</t>
  </si>
  <si>
    <t>yandiola.com/reservas; info@grupoyandiola.com; Guía Repsol</t>
  </si>
  <si>
    <t>Reserva web, carta estructurada, terraza icónica Azkuna.</t>
  </si>
  <si>
    <t>Acceso complejo en edificio; propuesta ya premium.</t>
  </si>
  <si>
    <t>https://yandiola.com/ | https://yandiola.com/reservas/ | https://www.guiarepsol.com/es/fichas/restaurante/yandiola-9051/</t>
  </si>
  <si>
    <t>Digitalización alta en límite Azkuna; poca necesidad demo genérica.</t>
  </si>
  <si>
    <t>https://zarate.restaurant/</t>
  </si>
  <si>
    <t>zarate.restaurant (no fetch); Turismo Euskadi; restaurantezarate@gmail.com</t>
  </si>
  <si>
    <t>Marca Michelin y contacto oficial Turismo Euskadi.</t>
  </si>
  <si>
    <t>Web no verificada en sesión (protección bot).</t>
  </si>
  <si>
    <t>https://turismo.euskadi.eus/es/restaurantes/restaurante-zarate/webtur00-content/es/</t>
  </si>
  <si>
    <t>Alto nivel asumido; auditoría web pendiente.</t>
  </si>
  <si>
    <t>https://www.instagram.com/cocktails_bar_ados/</t>
  </si>
  <si>
    <t>Instagram @cocktails_bar_ados; Facebook Ados; 946548847</t>
  </si>
  <si>
    <t>Coctelería con presencia social y terraza citada.</t>
  </si>
  <si>
    <t>Sin web propia; carta/horario en redes.</t>
  </si>
  <si>
    <t>Landing cócteles + grupos (rol 4: DM Instagram).</t>
  </si>
  <si>
    <t>https://intravel.net/es/bilbao/nightlife/ados | https://premiojovenempresario.es/ver/ados-bilbao</t>
  </si>
  <si>
    <t>Solo redes; oportunidad landing nocturna moderada.</t>
  </si>
  <si>
    <t>indh036</t>
  </si>
  <si>
    <t>lote-008</t>
  </si>
  <si>
    <t>Garibolo</t>
  </si>
  <si>
    <t>Fernández del Campo, 7</t>
  </si>
  <si>
    <t>indh037</t>
  </si>
  <si>
    <t>Jazminos</t>
  </si>
  <si>
    <t>Fernández del Campo, 17</t>
  </si>
  <si>
    <t>indh038</t>
  </si>
  <si>
    <t>El Plaza de Indautxu</t>
  </si>
  <si>
    <t>Alameda San Mamés, 46</t>
  </si>
  <si>
    <t>indh039</t>
  </si>
  <si>
    <t>Lau Bar</t>
  </si>
  <si>
    <t>Alameda San Mamés, 23</t>
  </si>
  <si>
    <t>indh040</t>
  </si>
  <si>
    <t>Restaurante Ipindo</t>
  </si>
  <si>
    <t>Alameda San Mamés, 39</t>
  </si>
  <si>
    <t>https://www.garibolo.com/</t>
  </si>
  <si>
    <t>garibolo.com; 944 223 255; Salir.com</t>
  </si>
  <si>
    <t>Marca veggie consolidada; web con horario y contacto.</t>
  </si>
  <si>
    <t>Sin carta/precios online; reserva solo teléfono.</t>
  </si>
  <si>
    <t>Carta semanal web + reserva (rol 4: grupos).</t>
  </si>
  <si>
    <t>https://www.garibolo.com/ | https://www.salir.com/garibolo-bilbao-neg-126905.html</t>
  </si>
  <si>
    <t>expedientes/0036_Garibolo</t>
  </si>
  <si>
    <t>Web propia; fricción carta/reserva; contacto claro.</t>
  </si>
  <si>
    <t>https://jazminos.com/</t>
  </si>
  <si>
    <t>jazminos.com/platos; Glovo (Very Bilbao); holajazminos@gmail.com</t>
  </si>
  <si>
    <t>Carta online con precios; delivery documentado.</t>
  </si>
  <si>
    <t>Reserva web no verificada; dependencia agregador.</t>
  </si>
  <si>
    <t>https://jazminos.com/platos/ | https://verybilbao.com/comercios/jazminos/</t>
  </si>
  <si>
    <t>expedientes/0037_Jazminos</t>
  </si>
  <si>
    <t>Digital maduro; poco margen salvo optimización.</t>
  </si>
  <si>
    <t>Sluurpy; menuweb.menu; 946 00 03 41</t>
  </si>
  <si>
    <t>Menú del día citado; ubicación plaza.</t>
  </si>
  <si>
    <t>Sin web propia; horarios discordantes en fichas.</t>
  </si>
  <si>
    <t>Landing menú del día + reserva simple.</t>
  </si>
  <si>
    <t>https://www.sluurpy.com/es/bilbao/restaurant/1841659/el-plaza-de-indautxu | https://cafe-restaurante-bar.es/bilbao/company/el-plaza-de-indautxu/</t>
  </si>
  <si>
    <t>expedientes/0038_PlazaIndautxu</t>
  </si>
  <si>
    <t>https://www.instagram.com/laubarrestaurante/</t>
  </si>
  <si>
    <t>Instagram @laubarrestaurante; laubarrestarurante.com (vacío); 846 665 510</t>
  </si>
  <si>
    <t>Bar+restaurante y menú del día en prensa; terraza citada.</t>
  </si>
  <si>
    <t>Dominio sin contenido; menú día offline.</t>
  </si>
  <si>
    <t>Web mínima + menú del día desde IG.</t>
  </si>
  <si>
    <t>https://www.baobilbao.com/lau-bar/ | https://followyak.com/local/lau-bar/</t>
  </si>
  <si>
    <t>expedientes/0039_LauBar</t>
  </si>
  <si>
    <t>https://www.restauranteipindo.com/</t>
  </si>
  <si>
    <t>restauranteipindo.com (precios en home)</t>
  </si>
  <si>
    <t>expedientes/0040_Ipindo</t>
  </si>
  <si>
    <t>Brief etapa 2 completado; mayor nota cola 6,8; sin web propia en Ercilla.</t>
  </si>
  <si>
    <t>Citiservi; Sluurpy; InTravel; tel. 944150145</t>
  </si>
  <si>
    <t>https://www.citiservi.es/vizcaya/bar-gure-bilbao__2732443_464.html | https://www.sluurpy.es/bilbao/restaurant/1843857/gure-bar | https://intravel.net/bilbao/nightlife/bar-gure</t>
  </si>
  <si>
    <t>Teléfono y dirección estables; barra matinal documentada en terceros.</t>
  </si>
  <si>
    <t>Sin web; horarios dispares sáb/dom y cierre; enlace Guria erróneo en agregadores.</t>
  </si>
  <si>
    <t>Más fuentes etapa 2; horario aún conflictivo; sin carta ni redes.</t>
  </si>
  <si>
    <t>indh041</t>
  </si>
  <si>
    <t>lote-009</t>
  </si>
  <si>
    <t>La Alhondiga</t>
  </si>
  <si>
    <t>General Salazar, 3</t>
  </si>
  <si>
    <t>indh042</t>
  </si>
  <si>
    <t>Cantina Mexicana Tapachula</t>
  </si>
  <si>
    <t>Alameda San Mamés, 28</t>
  </si>
  <si>
    <t>indh043</t>
  </si>
  <si>
    <t>Restaurante Chino Ercilla</t>
  </si>
  <si>
    <t>Ercilla, 15</t>
  </si>
  <si>
    <t>indh044</t>
  </si>
  <si>
    <t>Cotton Club</t>
  </si>
  <si>
    <t>Gregorio de la Revilla, 25</t>
  </si>
  <si>
    <t>indh045</t>
  </si>
  <si>
    <t>The Boar</t>
  </si>
  <si>
    <t>https://www.laalhondiga.es/</t>
  </si>
  <si>
    <t>laalhondiga.es; 944 105 764; info@laalhondiga.es</t>
  </si>
  <si>
    <t>https://www.laalhondiga.es/ | https://www.laalhondiga.es/men%C3%BA-mediod%C3%ADa-fin-de-semana/</t>
  </si>
  <si>
    <t>expedientes/0041_LaAlhondiga</t>
  </si>
  <si>
    <t>https://cantinatapachula.com/</t>
  </si>
  <si>
    <t>cantinatapachula.com; WhatsApp 681 349 224; Glovo; 944 444 719</t>
  </si>
  <si>
    <t>Carta mexicana completa online; delivery y WhatsApp operativos.</t>
  </si>
  <si>
    <t>Reserva mesa no autogestionada; eventos en ruta no verificada.</t>
  </si>
  <si>
    <t>— (digital maduro).</t>
  </si>
  <si>
    <t>https://cantinatapachula.com/nuestra-carta/ | https://cantinatapachula.com/contacto</t>
  </si>
  <si>
    <t>expedientes/0042_Tapachula</t>
  </si>
  <si>
    <t>Carta+Glovo; baja fricción; valor incremental web limitado.</t>
  </si>
  <si>
    <t>https://www.chinoercilla.com/</t>
  </si>
  <si>
    <t>chinoercilla.com; 944 246 653; info@chinoercilla.com</t>
  </si>
  <si>
    <t>Eventos y especialidades comunicados; contacto profesional.</t>
  </si>
  <si>
    <t>Sin carta/precios online; pedido para llevar no verificado.</t>
  </si>
  <si>
    <t>Carta grupos online + CTA reserva ceremonias.</t>
  </si>
  <si>
    <t>https://www.chinoercilla.com/ | https://www.chinoercilla.com/contacto</t>
  </si>
  <si>
    <t>expedientes/0043_ChinoErcilla</t>
  </si>
  <si>
    <t>Web sin carta útil; fuerte línea grupos; contacto publicado.</t>
  </si>
  <si>
    <t>https://cottonbilbao.com/</t>
  </si>
  <si>
    <t>cottonbilbao.com; @cottonbilbao; INFO@COTTONBILBAO.COM</t>
  </si>
  <si>
    <t>Marca conciertos/DJ consolidada; web con propuesta clara.</t>
  </si>
  <si>
    <t>Agenda/entradas en redes; horarios incompletos en web.</t>
  </si>
  <si>
    <t>Calendario eventos indexable en web.</t>
  </si>
  <si>
    <t>https://cottonbilbao.com/ | https://verybilbao.com/en/comercios/cotton-club/</t>
  </si>
  <si>
    <t>expedientes/0044_CottonClub</t>
  </si>
  <si>
    <t>Ocio nocturno; web eventos mejorable; contacto publicado.</t>
  </si>
  <si>
    <t>https://www.sanmiguel.com/es/locales/the-boar/</t>
  </si>
  <si>
    <t>San Miguel Tap Station; 946 07 22 18; info@grupoyandiola.com</t>
  </si>
  <si>
    <t>Tapas+cervezas reconocidas; ficha y teléfono en plataforma cervecera.</t>
  </si>
  <si>
    <t>Sin web propia verificada; carta no digital; mismo edificio que Yandiola.</t>
  </si>
  <si>
    <t>Microsite carta cervezas/tapas (rol 4: coordinación grupo).</t>
  </si>
  <si>
    <t>https://www.sanmiguel.com/es/locales/the-boar/ | https://www.disfrutabizkaia.com/establecimiento/the-boar_bar/</t>
  </si>
  <si>
    <t>expedientes/0045_TheBoar</t>
  </si>
  <si>
    <t>Contenido menú y contacto publicados; local contrastado.</t>
  </si>
  <si>
    <t>Web IONOS muy antigua (layout fijo, imprimir/mapa/login); mala experiencia móvil probable; reserva solo teléfono.</t>
  </si>
  <si>
    <t>Rediseño web responsive + menú día HTML + reserva (rol 4: oficinas Indautxu).</t>
  </si>
  <si>
    <t>https://www.elhuevofrito.com/</t>
  </si>
  <si>
    <t>Web propia moderna y breve: carta online, localización/mapa y contacto; take away declarado.</t>
  </si>
  <si>
    <t>Margen incremental bajo frente a vitrina ya resuelta; no encaja en hueco C.</t>
  </si>
  <si>
    <t>Rehacer escala: casuística A (vitrina moderna completa; poco texto OK). N/V 2–3.</t>
  </si>
  <si>
    <t>Rehacer escala C2·terceros/plataforma (~7). Solo fichas; sin web/carta propia.</t>
  </si>
  <si>
    <t>Rehacer escala C2·plataforma Eatbu (~7). Sin carta propia fiable.</t>
  </si>
  <si>
    <t>Rehacer escala C1·sin web (~7,5). Dominio inactivo; descubrimiento vía terceros.</t>
  </si>
  <si>
    <t>Rehacer escala C1·sin web (~7,5). Solo redes; sin vitrina propia ni carta indexable.</t>
  </si>
  <si>
    <t>Rehacer escala C1·sin web (~7,5). Solo redes; sin web propia ni carta indexable.</t>
  </si>
  <si>
    <t>Rehacer escala C2·terceros (~7). Fichas antiguas; sin web propia.</t>
  </si>
  <si>
    <t>Rehacer escala C1·sin web (~7,5). Sin dominio; datos en agregadores contradictorios.</t>
  </si>
  <si>
    <t>Rehacer escala C2·terceros (~7). Solo agregadores; sin canal propio.</t>
  </si>
  <si>
    <t>Rehacer escala C1·sin web (~7,5). Carta caída; vitrina inestable (portal compartido).</t>
  </si>
  <si>
    <t>Rehacer escala C1·sin web (~7,5). Dominio inactivo; sin presencia propia fiable.</t>
  </si>
  <si>
    <t>Rehacer escala C2·terceros (~7). Sin web propia; menú del día offline.</t>
  </si>
  <si>
    <t>Rehacer escala C1·sin web (~7,5). Dominio vacío + IG; sin carta web estable.</t>
  </si>
  <si>
    <t>Rehacer escala C2·plataforma cadena (~7). Ficha San Miguel; sin web de marca ni carta digital.</t>
  </si>
  <si>
    <t>baralameda.es no resuelve DNS (barrido 2026-09-28); no es web obsoleta visible — hueco C1.</t>
  </si>
  <si>
    <t>Barrido propias: dominio inactivo; casuística C1 (~7,5 orientativo).</t>
  </si>
  <si>
    <t>Tienda web con precios, pedido online y reserva en canal propio.</t>
  </si>
  <si>
    <t>Margen incremental bajo; operativa digital ya madura.</t>
  </si>
  <si>
    <t>Barrido visual: casuística A (e-commerce + carta); nota orientativa baja.</t>
  </si>
  <si>
    <t>indh046</t>
  </si>
  <si>
    <t>lote-010</t>
  </si>
  <si>
    <t>Restaurante Gredos</t>
  </si>
  <si>
    <t>Alameda Urquijo, 50</t>
  </si>
  <si>
    <t>http://restaurantegredos.com/</t>
  </si>
  <si>
    <t>restaurantegredos.com (aparcado GoDaddy); Instagram @gredosbilbao; tel. 944 211 845</t>
  </si>
  <si>
    <t>Local clásico Indautxu; teléfono y dirección coherentes en directorios.</t>
  </si>
  <si>
    <t>Dominio histórico en venta/aparcado; sin carta ni horario en web propia.</t>
  </si>
  <si>
    <t>Recuperar dominio + web mínima carta/menú día (rol 4: SEO Urquijo).</t>
  </si>
  <si>
    <t>http://restaurantegredos.com/ | https://www.sluurpy.es/bilbao/restaurant/1833515/restaurante-gredos</t>
  </si>
  <si>
    <t>expedientes/0046_Gredos</t>
  </si>
  <si>
    <t>C1 dominio inactivo; alta necesidad vitrina; negocio activo en zona; contacto telefónico público.</t>
  </si>
  <si>
    <t>indh047</t>
  </si>
  <si>
    <t>Bar Poza 42</t>
  </si>
  <si>
    <t>Licenciado Poza, 42</t>
  </si>
  <si>
    <t>http://www.poza42.com/</t>
  </si>
  <si>
    <t>poza42.com (error 521); Disfruta Bizkaia; tel. 944 416 639; manolopozas@hotmail.com</t>
  </si>
  <si>
    <t>Bar histórico camino San Mamés; identidad contrastada en guías.</t>
  </si>
  <si>
    <t>Dominio publicado (poza42.com) no sirve contenido del bar.</t>
  </si>
  <si>
    <t>Web barra + menú día anti-crisis visible online (rol 4: oficinas Poza).</t>
  </si>
  <si>
    <t>http://www.poza42.com/ | https://www.disfrutabizkaia.com/establecimiento/poza-42-bar/</t>
  </si>
  <si>
    <t>expedientes/0047_Poza42</t>
  </si>
  <si>
    <t>C1 dominio caído; bar referenciado en prensa; margen alto nueva vitrina.</t>
  </si>
  <si>
    <t>indh048</t>
  </si>
  <si>
    <t>Covent Garden</t>
  </si>
  <si>
    <t>Doctor Areilza, 28</t>
  </si>
  <si>
    <t>No localizada</t>
  </si>
  <si>
    <t>Instagram @lastartasdelcovent; tel. 944 667 549; directorios (Bilbao Turismo, Páginas Amarillas)</t>
  </si>
  <si>
    <t>Bar irlandés/pintxos muy citado en guías Indautxu.</t>
  </si>
  <si>
    <t>Sin dominio propio útil; carta y horarios solo en terceros.</t>
  </si>
  <si>
    <t>Landing propia con carta tortilla/pintxos + horario (rol 4: turismo+local).</t>
  </si>
  <si>
    <t>https://tourism.euskadi.eus/en/bar-tapas/pintxos-in-bilbao-indautxu/webtur00-content/en/ | https://www.paginasamarillas.es/f/bilbao/covent-garden_203950720_000000001.html</t>
  </si>
  <si>
    <t>expedientes/0048_CoventGarden</t>
  </si>
  <si>
    <t>C1 sin web propia; alto perfil hostelería; vitrina desde cero.</t>
  </si>
  <si>
    <t>indh049</t>
  </si>
  <si>
    <t>Restaurante Munegorri</t>
  </si>
  <si>
    <t>Alameda San Mamés, 43 bis</t>
  </si>
  <si>
    <t>http://www.restaurantemunegorri.com/</t>
  </si>
  <si>
    <t>restaurantemunegorri.com (DNS sin sitio); tel. 944 104 251</t>
  </si>
  <si>
    <t>Restaurante tradicional junto Plaza Indautxu; terraza citada en guías.</t>
  </si>
  <si>
    <t>Dominio citado en directorios no resuelve; sin carta online.</t>
  </si>
  <si>
    <t>Web carta temporada + reserva tel/formulario (rol 4: comidas empresa).</t>
  </si>
  <si>
    <t>https://www.sluurpy.es/bilbao/restaurant/1834292/restaurante-munegorri | https://agenda.elcorreo.com/recinto/munegorri-100859.html</t>
  </si>
  <si>
    <t>expedientes/0049_Munegorri</t>
  </si>
  <si>
    <t>C1 dominio inactivo; cocina casera referenciada; contacto telefónico claro.</t>
  </si>
  <si>
    <t>indh050</t>
  </si>
  <si>
    <t>La Compañía del Ron</t>
  </si>
  <si>
    <t>Máximo Aguirre, 23</t>
  </si>
  <si>
    <t>http://www.laciadelron.com/</t>
  </si>
  <si>
    <t>Bar copas/ron referencia Indautxu; prensa y redes activas.</t>
  </si>
  <si>
    <t>Recuperación dominio + vitrina ron/pintxos (rol 4: tardeo/catas).</t>
  </si>
  <si>
    <t>expedientes/0050_CompaniaDelRon</t>
  </si>
  <si>
    <t>Dominio comprometido + marca fuerte; alta necesidad vitrina fiable.</t>
  </si>
  <si>
    <t>Web propia estática/envejecida (Twitter legacy); sin carta ni teléfono; vitrina barra no digitalizada.</t>
  </si>
  <si>
    <t>Rediseño responsive + carta barra/terraza + teléfono/WhatsApp (rol 4: esquina Poza/Areilza).</t>
  </si>
  <si>
    <t>Rehacer visual 2026-09-28: F envejecida (no IONOS); alta necesidad vs web útil previa subvalorada.</t>
  </si>
  <si>
    <t>Único B IONOS en barrido 28+; M8 plantilla obsoleta difícil de mantener; líder cola oportunidad web.</t>
  </si>
  <si>
    <t>indh051</t>
  </si>
  <si>
    <t>lote-011</t>
  </si>
  <si>
    <t>Moyúa Café Restaurante</t>
  </si>
  <si>
    <t>Plaza Moyúa / Gran Vía Don Diego López de Haro, 39</t>
  </si>
  <si>
    <t>Fuera</t>
  </si>
  <si>
    <t>http://moyuacaferestaurante.com/</t>
  </si>
  <si>
    <t>moyuacaferestaurante.com (caducado); tel. 946 062 797; directorios Plaza Moyúa</t>
  </si>
  <si>
    <t>Café-restaurante céntrico en Moyúa; alto tráfico turístico y oficinas.</t>
  </si>
  <si>
    <t>Dominio publicado caducado/en venta; sin carta ni horario en web propia.</t>
  </si>
  <si>
    <t>Recuperar dominio + web carta/brunch (rol 4: flujo metro Moyúa).</t>
  </si>
  <si>
    <t>http://moyuacaferestaurante.com/ | https://intravel.net/es/bilbao/restaurants-cafes/moyua-cafe-restaurante</t>
  </si>
  <si>
    <t>expedientes/0051_MoyuaCafe</t>
  </si>
  <si>
    <t>C1 dominio caducado; negocio activo en alrededores Indautxu; contacto en fichas.</t>
  </si>
  <si>
    <t>indh052</t>
  </si>
  <si>
    <t>Ta-chien</t>
  </si>
  <si>
    <t>Heliodoro de la Torre, 12</t>
  </si>
  <si>
    <t>https://ta-chien.es/</t>
  </si>
  <si>
    <t>ta-chien.es (mínima); tel. 944 475 641 / 946 008 272; Just Eat citado en directorios</t>
  </si>
  <si>
    <t>Restaurante chino de referencia en Deusto; horarios publicados.</t>
  </si>
  <si>
    <t>Web propia casi vacía; carta y reserva no en sitio; captcha en revisión.</t>
  </si>
  <si>
    <t>Web carta + reserva teléfono visible (rol 4: Deusto–Indautxu).</t>
  </si>
  <si>
    <t>https://ta-chien.es/ | https://pidemesa.es/restaurantes/bizkaia/bilbao/ta-chien</t>
  </si>
  <si>
    <t>expedientes/0052_TaChien</t>
  </si>
  <si>
    <t>F propia mínima; margen mejora vitrina; contacto telefónico claro.</t>
  </si>
  <si>
    <t>indh053</t>
  </si>
  <si>
    <t>Batzoki Rekalde</t>
  </si>
  <si>
    <t>General Salazar, 13</t>
  </si>
  <si>
    <t>https://batzokirekalde.eus/</t>
  </si>
  <si>
    <t>batzokirekalde.eus; tel. 944 444 336; kaixo@batzokirekalde.eus</t>
  </si>
  <si>
    <t>Web moderna cocina vasca; misma calle que La Alhondiga (General Salazar).</t>
  </si>
  <si>
    <t>Vitrina ya resuelta; captcha impidió auditoría profunda.</t>
  </si>
  <si>
    <t>expedientes/0053_BatzokiRekalde</t>
  </si>
  <si>
    <t>A vitrina moderna; registro por cobertura lindero Indautxu.</t>
  </si>
  <si>
    <t>indh054</t>
  </si>
  <si>
    <t>San Marcos Bar &amp; Kitchen</t>
  </si>
  <si>
    <t>Alameda Recalde, 47</t>
  </si>
  <si>
    <t>https://sanmarcosbilbao.com/</t>
  </si>
  <si>
    <t>sanmarcosbilbao.com; tel. 944 217 964; WhatsApp 688 736 492</t>
  </si>
  <si>
    <t>Menú del día online; web responsive; junto Azkuna/Alhondiga.</t>
  </si>
  <si>
    <t>Reserva solo teléfono/WhatsApp; margen bajo vs obsoletos.</t>
  </si>
  <si>
    <t>expedientes/0054_SanMarcos</t>
  </si>
  <si>
    <t>A moderna; contraste referencia frente indh041 en misma alameda.</t>
  </si>
  <si>
    <t>indh055</t>
  </si>
  <si>
    <t>Restaurante Porrue</t>
  </si>
  <si>
    <t>Alameda Recalde, 4</t>
  </si>
  <si>
    <t>https://www.porrue.com/</t>
  </si>
  <si>
    <t>porrue.com; TableBooking; tel. 944 231 313</t>
  </si>
  <si>
    <t>Parrilla moderna; reservas y carta digitales; corredor Moyúa–Guggenheim.</t>
  </si>
  <si>
    <t>Vitrina completa; no prioritario comercial web.</t>
  </si>
  <si>
    <t>expedientes/0055_Porrue</t>
  </si>
  <si>
    <t>A vitrina moderna; cobertura alrededores Indautxu.</t>
  </si>
  <si>
    <t>indh056</t>
  </si>
  <si>
    <t>lote-012</t>
  </si>
  <si>
    <t>MOA Lounge Bar</t>
  </si>
  <si>
    <t>Rodríguez Arias, 28</t>
  </si>
  <si>
    <t>https://moaloungebar.com/</t>
  </si>
  <si>
    <t>moaloungebar.com; Instagram @moaloungebar_; tel. 946 43 30 84</t>
  </si>
  <si>
    <t>Web moderna cócteles/picoteo, horario amplio y propuesta tardeo/eventos.</t>
  </si>
  <si>
    <t>Picoteo sin precios en HTML; reserva mesa no online.</t>
  </si>
  <si>
    <t>https://moaloungebar.com/ | https://moaloungebar.com/carta</t>
  </si>
  <si>
    <t>expedientes/0056_MOALoungeBar</t>
  </si>
  <si>
    <t>A vitrina moderna; carta cócteles+PDF; bajo margen comercial web.</t>
  </si>
  <si>
    <t>indh057</t>
  </si>
  <si>
    <t>Colombo Bilbao</t>
  </si>
  <si>
    <t>Rodríguez Arias, 32</t>
  </si>
  <si>
    <t>https://colombobilbao.com/</t>
  </si>
  <si>
    <t>colombobilbao.com/carta; reservas web; info@colombobilbao.com</t>
  </si>
  <si>
    <t>Carta con precios HTML y motor reservas integrado.</t>
  </si>
  <si>
    <t>Vitrina digital madura; poco hueco incremental evidente.</t>
  </si>
  <si>
    <t>https://colombobilbao.com/ | https://colombobilbao.com/carta | https://colombobilbao.com/reservas</t>
  </si>
  <si>
    <t>expedientes/0057_Colombo</t>
  </si>
  <si>
    <t>A completa (carta+reservas); prioridad cola baja.</t>
  </si>
  <si>
    <t>indh058</t>
  </si>
  <si>
    <t>La Tagliatella Indautxu</t>
  </si>
  <si>
    <t>https://www.latagliatella.es/</t>
  </si>
  <si>
    <t>latagliatella.es (cadena); tel. 944 27 81 81; app Amici</t>
  </si>
  <si>
    <t>Reservas/pedidos centralizados en plataforma corporativa.</t>
  </si>
  <si>
    <t>Ficha Indautxu 404 en web cadena; poca diferenciación local.</t>
  </si>
  <si>
    <t>Landing SEO local Indautxu enlazada a reservas cadena (rol 4: permiso franquicia).</t>
  </si>
  <si>
    <t>https://www.latagliatella.es/ | https://www.sluurpy.es/bilbao/restaurant/1836973/la-tagliatella-indautxu-bilbao</t>
  </si>
  <si>
    <t>expedientes/0058_LaTagliatella</t>
  </si>
  <si>
    <t>C2 cadena; margen local limitado; identidad básica en directorios.</t>
  </si>
  <si>
    <t>indh059</t>
  </si>
  <si>
    <t>Bar Berton Goikoa</t>
  </si>
  <si>
    <t>Facebook/Tripadvisor (guías); tel. 944 39 43 01</t>
  </si>
  <si>
    <t>Bar-restaurante Grupo Berton; pintxos y brasa con reputación en eje Indautxu.</t>
  </si>
  <si>
    <t>Sin web propia ni carta digital fiable; descubrimiento vía fichas.</t>
  </si>
  <si>
    <t>Web mínima carta+horario+WhatsApp (rol 4: menú mediodía empresa).</t>
  </si>
  <si>
    <t>https://bilbaoalacarta.com/restaurante-bilbao/berton-goikoa/ | https://www.sluurpy.com/en/bilbao/restaurant/1831587/bar-berton-goikoa</t>
  </si>
  <si>
    <t>expedientes/0059_BertonGoikoa</t>
  </si>
  <si>
    <t>C1 sin vitrina digital; alto tráfico offline; oportunidad web clara.</t>
  </si>
  <si>
    <t>indh060</t>
  </si>
  <si>
    <t>Sushi Artist (Poza)</t>
  </si>
  <si>
    <t>https://www.sushiartist.es/</t>
  </si>
  <si>
    <t>sushiartist.es; Uber Eats Poza 48; tel. 946 52 13 99</t>
  </si>
  <si>
    <t>Pedidos online cadena + Uber Eats; terraza citada en Páginas Amarillas.</t>
  </si>
  <si>
    <t>Sin microsite local; experiencia homogeneizada en web nacional.</t>
  </si>
  <si>
    <t>https://www.sushiartist.es/ | https://www.paginasamarillas.es/f/bilbao/sushi-artist_222244303_000000002.html</t>
  </si>
  <si>
    <t>expedientes/0060_SushiArtist</t>
  </si>
  <si>
    <t>C2 cadena con delivery funcional; poco margen web propia local.</t>
  </si>
  <si>
    <t>Brief 02 completado; cola Puntuación 8,3; activo pipeline 3-7.</t>
  </si>
  <si>
    <t>Post demo+comercial: dolor IONOS/PDF/móvil confirmado; demo A encaja mediodía Indautxu. No 9: sin IG, reserva telefónica, horario/carta por validar; conversión incierta. Prioridad campaña; seguir con mensajero (email/visita).</t>
  </si>
  <si>
    <t>Completado</t>
  </si>
  <si>
    <t>laciadelron.com (hijack/spam); Instagram @la_compania_del_ron; Facebook Laciadelron22; Google 643802270; tel. hist. 944024844</t>
  </si>
  <si>
    <t>Dominio histórico con contenido ajeno; sin carta propia; teléfonos discordantes en fuentes.</t>
  </si>
  <si>
    <t>https://laciadelron.com/ | https://www.instagram.com/la_compania_del_ron/ | expedientes/0050_CompaniaDelRon/04-alcance-aceptado.json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</si>
</sst>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\y\y\y\y"/>
  </numFmts>
  <fonts count="6">
    <font>
      <sz val="11"/>
      <name val="Carlito"/>
    </font>
    <font>
      <sz val="10"/>
      <color rgb="FF243247"/>
      <name val="Arial"/>
    </font>
    <font>
      <b/>
      <sz val="16"/>
      <color rgb="FF203B60"/>
      <name val="Arial"/>
    </font>
    <font>
      <b/>
      <sz val="10"/>
      <color rgb="FFFFFFFF"/>
      <name val="Arial"/>
    </font>
    <font>
      <b/>
      <sz val="10"/>
      <color rgb="FF243247"/>
      <name val="Arial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03B60"/>
      </patternFill>
    </fill>
    <fill>
      <patternFill patternType="solid">
        <fgColor rgb="FF27624B"/>
      </patternFill>
    </fill>
    <fill>
      <patternFill patternType="solid">
        <fgColor rgb="FF67562F"/>
      </patternFill>
    </fill>
    <fill>
      <patternFill patternType="solid">
        <fgColor rgb="FFFFF8E8"/>
      </patternFill>
    </fill>
    <fill>
      <patternFill patternType="solid">
        <fgColor rgb="FFF0F4F8"/>
      </patternFill>
    </fill>
    <fill>
      <patternFill patternType="solid">
        <fgColor rgb="FFE4EA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" fontId="1" fillId="5" borderId="0" xfId="0" applyNumberFormat="1" applyFont="1" applyFill="1" applyAlignment="1">
      <alignment vertical="center" wrapText="1"/>
    </xf>
    <xf numFmtId="164" fontId="1" fillId="6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9" fontId="1" fillId="0" borderId="0" xfId="0" applyNumberFormat="1" applyFont="1" applyAlignment="1">
      <alignment vertical="center"/>
    </xf>
    <xf numFmtId="0" fontId="4" fillId="7" borderId="0" xfId="0" applyFont="1" applyFill="1" applyAlignment="1">
      <alignment vertical="center"/>
    </xf>
    <xf numFmtId="165" fontId="1" fillId="0" borderId="0" xfId="0" applyNumberFormat="1" applyFont="1" applyAlignment="1">
      <alignment vertical="center" wrapText="1"/>
    </xf>
    <xf numFmtId="0" fontId="1" fillId="0" borderId="0" xfId="0" quotePrefix="1" applyFont="1" applyAlignment="1">
      <alignment vertical="center" wrapText="1"/>
    </xf>
  </cellXfs>
  <cellStyles count="1">
    <cellStyle name="Normal" xfId="0" builtinId="0"/>
  </cellStyles>
  <dxfs count="9">
    <dxf>
      <font>
        <color rgb="FF777777"/>
      </font>
    </dxf>
    <dxf>
      <font>
        <b/>
        <color rgb="FF21613F"/>
      </font>
      <fill>
        <patternFill patternType="solid">
          <bgColor rgb="FFDDEFE4"/>
        </patternFill>
      </fill>
    </dxf>
    <dxf>
      <fill>
        <patternFill patternType="solid">
          <bgColor rgb="FFDBEBE1"/>
        </patternFill>
      </fill>
    </dxf>
    <dxf>
      <fill>
        <patternFill patternType="solid">
          <bgColor rgb="FFF9F2D9"/>
        </patternFill>
      </fill>
    </dxf>
    <dxf>
      <fill>
        <patternFill patternType="solid">
          <bgColor rgb="FFF6E3DA"/>
        </patternFill>
      </fill>
    </dxf>
    <dxf>
      <font>
        <color rgb="FF923D2A"/>
      </font>
      <fill>
        <patternFill patternType="solid">
          <bgColor rgb="FFFBE4D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247"/>
        <name val="Arial"/>
        <scheme val="none"/>
      </font>
      <numFmt numFmtId="164" formatCode="0.0"/>
      <fill>
        <patternFill patternType="solid">
          <fgColor indexed="64"/>
          <bgColor rgb="FFF0F4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247"/>
        <name val="Arial"/>
        <scheme val="none"/>
      </font>
      <numFmt numFmtId="164" formatCode="0.0"/>
      <fill>
        <patternFill patternType="solid">
          <fgColor indexed="64"/>
          <bgColor rgb="FFF0F4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247"/>
        <name val="Arial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gociosTabla" displayName="NegociosTabla" ref="A6:AU206" totalsRowShown="0">
  <autoFilter ref="A6:AU206" xr:uid="{00000000-0009-0000-0100-000001000000}"/>
  <tableColumns count="47">
    <tableColumn id="1" xr3:uid="{00000000-0010-0000-0000-000001000000}" name="ID"/>
    <tableColumn id="2" xr3:uid="{00000000-0010-0000-0000-000002000000}" name="Campaña"/>
    <tableColumn id="3" xr3:uid="{00000000-0010-0000-0000-000003000000}" name="Lote"/>
    <tableColumn id="4" xr3:uid="{00000000-0010-0000-0000-000004000000}" name="Negocio"/>
    <tableColumn id="5" xr3:uid="{00000000-0010-0000-0000-000005000000}" name="Categoría"/>
    <tableColumn id="6" xr3:uid="{00000000-0010-0000-0000-000006000000}" name="Dirección"/>
    <tableColumn id="7" xr3:uid="{00000000-0010-0000-0000-000007000000}" name="Municipio"/>
    <tableColumn id="8" xr3:uid="{00000000-0010-0000-0000-000008000000}" name="Zona"/>
    <tableColumn id="9" xr3:uid="{00000000-0010-0000-0000-000009000000}" name="Actividad"/>
    <tableColumn id="10" xr3:uid="{00000000-0010-0000-0000-00000A000000}" name="Confianza"/>
    <tableColumn id="11" xr3:uid="{00000000-0010-0000-0000-00000B000000}" name="Presencia web"/>
    <tableColumn id="12" xr3:uid="{00000000-0010-0000-0000-00000C000000}" name="URL web"/>
    <tableColumn id="13" xr3:uid="{00000000-0010-0000-0000-00000D000000}" name="Carta digital"/>
    <tableColumn id="14" xr3:uid="{00000000-0010-0000-0000-00000E000000}" name="Reservas online"/>
    <tableColumn id="15" xr3:uid="{00000000-0010-0000-0000-00000F000000}" name="Pedidos online"/>
    <tableColumn id="16" xr3:uid="{00000000-0010-0000-0000-000010000000}" name="Venta productos"/>
    <tableColumn id="17" xr3:uid="{00000000-0010-0000-0000-000011000000}" name="Fidelización"/>
    <tableColumn id="18" xr3:uid="{00000000-0010-0000-0000-000012000000}" name="Grupos eventos"/>
    <tableColumn id="19" xr3:uid="{00000000-0010-0000-0000-000013000000}" name="App externa"/>
    <tableColumn id="45" xr3:uid="{5E0362DD-9415-40D8-B16E-0101868F7720}" name="Terraza" dataDxfId="8"/>
    <tableColumn id="20" xr3:uid="{00000000-0010-0000-0000-000014000000}" name="Herramientas y enlaces"/>
    <tableColumn id="21" xr3:uid="{00000000-0010-0000-0000-000015000000}" name="Bien resuelto"/>
    <tableColumn id="22" xr3:uid="{00000000-0010-0000-0000-000016000000}" name="Fricción observada"/>
    <tableColumn id="23" xr3:uid="{00000000-0010-0000-0000-000017000000}" name="Oportunidades preliminares"/>
    <tableColumn id="24" xr3:uid="{00000000-0010-0000-0000-000018000000}" name="Encaje innovador"/>
    <tableColumn id="25" xr3:uid="{00000000-0010-0000-0000-000019000000}" name="Fuentes URL"/>
    <tableColumn id="26" xr3:uid="{00000000-0010-0000-0000-00001A000000}" name="Fecha revisión"/>
    <tableColumn id="27" xr3:uid="{00000000-0010-0000-0000-00001B000000}" name="Expediente"/>
    <tableColumn id="28" xr3:uid="{00000000-0010-0000-0000-00001C000000}" name="Decisión selección"/>
    <tableColumn id="29" xr3:uid="{00000000-0010-0000-0000-00001D000000}" name="Motivo selección o bloqueo"/>
    <tableColumn id="30" xr3:uid="{00000000-0010-0000-0000-00001E000000}" name="Estado operativo"/>
    <tableColumn id="31" xr3:uid="{00000000-0010-0000-0000-00001F000000}" name="Necesidad 1-10"/>
    <tableColumn id="32" xr3:uid="{00000000-0010-0000-0000-000020000000}" name="Valor añadido 1-10"/>
    <tableColumn id="33" xr3:uid="{00000000-0010-0000-0000-000021000000}" name="Información 1-10"/>
    <tableColumn id="34" xr3:uid="{00000000-0010-0000-0000-000022000000}" name="Mantenibilidad 1-10"/>
    <tableColumn id="35" xr3:uid="{00000000-0010-0000-0000-000023000000}" name="Contacto 1-10"/>
    <tableColumn id="36" xr3:uid="{00000000-0010-0000-0000-000024000000}" name="Motivo puntuación"/>
    <tableColumn id="37" xr3:uid="{00000000-0010-0000-0000-000025000000}" name="Puntuación 1-10"/>
    <tableColumn id="47" xr3:uid="{23900B4F-0D4E-4832-B8E2-1290678F0B89}" name="Impacto post 1-10" dataDxfId="7"/>
    <tableColumn id="46" xr3:uid="{A507974C-E531-4802-9E53-23E01D3BF1C0}" name="Motivo impacto post" dataDxfId="6"/>
    <tableColumn id="38" xr3:uid="{00000000-0010-0000-0000-000026000000}" name="1 Investigación"/>
    <tableColumn id="39" xr3:uid="{00000000-0010-0000-0000-000027000000}" name="2 Webscraper"/>
    <tableColumn id="40" xr3:uid="{00000000-0010-0000-0000-000028000000}" name="3 Innovador"/>
    <tableColumn id="41" xr3:uid="{00000000-0010-0000-0000-000029000000}" name="4 Demo"/>
    <tableColumn id="42" xr3:uid="{00000000-0010-0000-0000-00002A000000}" name="5 Comercial"/>
    <tableColumn id="43" xr3:uid="{00000000-0010-0000-0000-00002B000000}" name="6 Valoración"/>
    <tableColumn id="44" xr3:uid="{00000000-0010-0000-0000-00002C000000}" name="7 Mensaj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B60"/>
  </sheetPr>
  <dimension ref="A1:AU206"/>
  <sheetViews>
    <sheetView showGridLines="0" tabSelected="1" zoomScale="69" workbookViewId="0">
      <pane xSplit="4" ySplit="6" topLeftCell="E7" activePane="bottomRight" state="frozen"/>
      <selection pane="topRight"/>
      <selection pane="bottomLeft"/>
      <selection pane="bottomRight"/>
    </sheetView>
  </sheetViews>
  <sheetFormatPr baseColWidth="10" defaultColWidth="8.6640625" defaultRowHeight="14"/>
  <cols>
    <col min="1" max="1" width="13" customWidth="1"/>
    <col min="2" max="2" width="27" customWidth="1"/>
    <col min="3" max="3" width="15" customWidth="1"/>
    <col min="4" max="4" width="26" customWidth="1"/>
    <col min="5" max="5" width="19" customWidth="1"/>
    <col min="6" max="6" width="32" customWidth="1"/>
    <col min="7" max="11" width="19" customWidth="1"/>
    <col min="12" max="12" width="36" customWidth="1"/>
    <col min="13" max="19" width="19" customWidth="1"/>
    <col min="20" max="20" width="45" customWidth="1"/>
    <col min="21" max="22" width="40" customWidth="1"/>
    <col min="23" max="23" width="46" customWidth="1"/>
    <col min="24" max="24" width="19" customWidth="1"/>
    <col min="25" max="25" width="46" customWidth="1"/>
    <col min="26" max="26" width="19" customWidth="1"/>
    <col min="27" max="27" width="36" customWidth="1"/>
    <col min="28" max="28" width="19" customWidth="1"/>
    <col min="29" max="29" width="40" customWidth="1"/>
    <col min="30" max="35" width="19" customWidth="1"/>
    <col min="36" max="36" width="42" customWidth="1"/>
    <col min="37" max="37" width="18" customWidth="1"/>
    <col min="38" max="46" width="19" customWidth="1"/>
  </cols>
  <sheetData>
    <row r="1" spans="1:47" ht="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7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7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7">
      <c r="A4" s="1" t="s">
        <v>2</v>
      </c>
      <c r="B4" s="1">
        <f>COUNTA(A7:A206)</f>
        <v>60</v>
      </c>
      <c r="C4" s="1"/>
      <c r="D4" s="1" t="s">
        <v>3</v>
      </c>
      <c r="E4" s="1">
        <f>COUNTIFS(AO7:AO206,"Sí",A7:A206,"&lt;&gt;")</f>
        <v>60</v>
      </c>
      <c r="F4" s="1"/>
      <c r="G4" s="1" t="s">
        <v>4</v>
      </c>
      <c r="H4" s="1">
        <f>COUNTIFS(AC7:AC206,"Seleccionado",A7:A206,"&lt;&gt;")</f>
        <v>6</v>
      </c>
      <c r="I4" s="1"/>
      <c r="J4" s="1" t="s">
        <v>5</v>
      </c>
      <c r="K4" s="1">
        <f>COUNTIFS(AU7:AU206,"Sí",A7:A206,"&lt;&gt;")</f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7" ht="10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7" ht="15" customHeight="1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19</v>
      </c>
      <c r="O6" s="3" t="s">
        <v>20</v>
      </c>
      <c r="P6" s="3" t="s">
        <v>21</v>
      </c>
      <c r="Q6" s="3" t="s">
        <v>22</v>
      </c>
      <c r="R6" s="3" t="s">
        <v>23</v>
      </c>
      <c r="S6" s="3" t="s">
        <v>24</v>
      </c>
      <c r="T6" s="3" t="s">
        <v>164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  <c r="AC6" s="3" t="s">
        <v>33</v>
      </c>
      <c r="AD6" s="3" t="s">
        <v>34</v>
      </c>
      <c r="AE6" s="3" t="s">
        <v>35</v>
      </c>
      <c r="AF6" s="5" t="s">
        <v>36</v>
      </c>
      <c r="AG6" s="5" t="s">
        <v>37</v>
      </c>
      <c r="AH6" s="5" t="s">
        <v>38</v>
      </c>
      <c r="AI6" s="5" t="s">
        <v>39</v>
      </c>
      <c r="AJ6" s="5" t="s">
        <v>40</v>
      </c>
      <c r="AK6" s="5" t="s">
        <v>41</v>
      </c>
      <c r="AL6" s="5" t="s">
        <v>42</v>
      </c>
      <c r="AM6" s="5" t="s">
        <v>278</v>
      </c>
      <c r="AN6" s="5" t="s">
        <v>279</v>
      </c>
      <c r="AO6" s="4" t="s">
        <v>43</v>
      </c>
      <c r="AP6" s="4" t="s">
        <v>280</v>
      </c>
      <c r="AQ6" s="4" t="s">
        <v>281</v>
      </c>
      <c r="AR6" s="4" t="s">
        <v>282</v>
      </c>
      <c r="AS6" s="4" t="s">
        <v>283</v>
      </c>
      <c r="AT6" s="4" t="s">
        <v>284</v>
      </c>
      <c r="AU6" s="4" t="s">
        <v>44</v>
      </c>
    </row>
    <row r="7" spans="1:47" ht="32" customHeight="1">
      <c r="A7" s="7" t="s">
        <v>99</v>
      </c>
      <c r="B7" s="7" t="s">
        <v>100</v>
      </c>
      <c r="C7" s="7" t="s">
        <v>101</v>
      </c>
      <c r="D7" s="7" t="s">
        <v>102</v>
      </c>
      <c r="E7" s="7" t="s">
        <v>103</v>
      </c>
      <c r="F7" s="7" t="s">
        <v>104</v>
      </c>
      <c r="G7" s="7" t="s">
        <v>105</v>
      </c>
      <c r="H7" s="7" t="s">
        <v>106</v>
      </c>
      <c r="I7" s="7" t="s">
        <v>107</v>
      </c>
      <c r="J7" s="7" t="s">
        <v>108</v>
      </c>
      <c r="K7" s="7" t="s">
        <v>109</v>
      </c>
      <c r="L7" s="7" t="s">
        <v>110</v>
      </c>
      <c r="M7" s="7" t="s">
        <v>111</v>
      </c>
      <c r="N7" s="7" t="s">
        <v>112</v>
      </c>
      <c r="O7" s="7" t="s">
        <v>112</v>
      </c>
      <c r="P7" s="7" t="s">
        <v>113</v>
      </c>
      <c r="Q7" s="7" t="s">
        <v>111</v>
      </c>
      <c r="R7" s="7" t="s">
        <v>111</v>
      </c>
      <c r="S7" s="7" t="s">
        <v>113</v>
      </c>
      <c r="T7" s="7" t="s">
        <v>165</v>
      </c>
      <c r="U7" s="7" t="s">
        <v>114</v>
      </c>
      <c r="V7" s="7" t="s">
        <v>115</v>
      </c>
      <c r="W7" s="7" t="s">
        <v>116</v>
      </c>
      <c r="X7" s="7" t="s">
        <v>117</v>
      </c>
      <c r="Y7" s="7" t="s">
        <v>118</v>
      </c>
      <c r="Z7" s="7" t="s">
        <v>119</v>
      </c>
      <c r="AA7" s="16">
        <v>46292</v>
      </c>
      <c r="AB7" s="7" t="s">
        <v>263</v>
      </c>
      <c r="AC7" s="7" t="s">
        <v>98</v>
      </c>
      <c r="AD7" s="7"/>
      <c r="AE7" s="7" t="s">
        <v>120</v>
      </c>
      <c r="AF7" s="9">
        <v>5</v>
      </c>
      <c r="AG7" s="9">
        <v>5</v>
      </c>
      <c r="AH7" s="9">
        <v>7</v>
      </c>
      <c r="AI7" s="9">
        <v>7</v>
      </c>
      <c r="AJ7" s="9">
        <v>8</v>
      </c>
      <c r="AK7" s="7" t="s">
        <v>121</v>
      </c>
      <c r="AL7" s="10">
        <f>IF(OR(A7="",COUNT(AF7:AJ7)&lt;5),"",ROUND(SUMPRODUCT(AF7:AJ7,Guia!$B$7:$F$7),1))</f>
        <v>6</v>
      </c>
      <c r="AM7" s="10"/>
      <c r="AN7" s="10"/>
      <c r="AO7" s="7" t="s">
        <v>122</v>
      </c>
      <c r="AP7" s="7" t="s">
        <v>97</v>
      </c>
      <c r="AQ7" s="7" t="s">
        <v>97</v>
      </c>
      <c r="AR7" s="7" t="s">
        <v>97</v>
      </c>
      <c r="AS7" s="7" t="s">
        <v>97</v>
      </c>
      <c r="AT7" s="7" t="s">
        <v>97</v>
      </c>
      <c r="AU7" s="7" t="s">
        <v>97</v>
      </c>
    </row>
    <row r="8" spans="1:47" ht="32" customHeight="1">
      <c r="A8" s="7" t="s">
        <v>123</v>
      </c>
      <c r="B8" s="7" t="s">
        <v>100</v>
      </c>
      <c r="C8" s="7" t="s">
        <v>101</v>
      </c>
      <c r="D8" s="7" t="s">
        <v>124</v>
      </c>
      <c r="E8" s="7" t="s">
        <v>125</v>
      </c>
      <c r="F8" s="7" t="s">
        <v>126</v>
      </c>
      <c r="G8" s="7" t="s">
        <v>105</v>
      </c>
      <c r="H8" s="7" t="s">
        <v>106</v>
      </c>
      <c r="I8" s="7" t="s">
        <v>107</v>
      </c>
      <c r="J8" s="7" t="s">
        <v>108</v>
      </c>
      <c r="K8" s="7" t="s">
        <v>109</v>
      </c>
      <c r="L8" s="7" t="s">
        <v>127</v>
      </c>
      <c r="M8" s="7" t="s">
        <v>111</v>
      </c>
      <c r="N8" s="7" t="s">
        <v>113</v>
      </c>
      <c r="O8" s="7" t="s">
        <v>111</v>
      </c>
      <c r="P8" s="7" t="s">
        <v>113</v>
      </c>
      <c r="Q8" s="7" t="s">
        <v>111</v>
      </c>
      <c r="R8" s="7" t="s">
        <v>111</v>
      </c>
      <c r="S8" s="7" t="s">
        <v>113</v>
      </c>
      <c r="T8" s="7" t="s">
        <v>165</v>
      </c>
      <c r="U8" s="7" t="s">
        <v>128</v>
      </c>
      <c r="V8" s="7" t="s">
        <v>129</v>
      </c>
      <c r="W8" s="7" t="s">
        <v>130</v>
      </c>
      <c r="X8" s="7" t="s">
        <v>131</v>
      </c>
      <c r="Y8" s="7" t="s">
        <v>118</v>
      </c>
      <c r="Z8" s="7" t="s">
        <v>127</v>
      </c>
      <c r="AA8" s="16">
        <v>46292</v>
      </c>
      <c r="AB8" s="7" t="s">
        <v>264</v>
      </c>
      <c r="AC8" s="7" t="s">
        <v>98</v>
      </c>
      <c r="AD8" s="7"/>
      <c r="AE8" s="7" t="s">
        <v>120</v>
      </c>
      <c r="AF8" s="9">
        <v>6</v>
      </c>
      <c r="AG8" s="9">
        <v>5</v>
      </c>
      <c r="AH8" s="9">
        <v>6</v>
      </c>
      <c r="AI8" s="9">
        <v>8</v>
      </c>
      <c r="AJ8" s="9">
        <v>7</v>
      </c>
      <c r="AK8" s="7" t="s">
        <v>132</v>
      </c>
      <c r="AL8" s="10">
        <f>IF(OR(A8="",COUNT(AF8:AJ8)&lt;5),"",ROUND(SUMPRODUCT(AF8:AJ8,Guia!$B$7:$F$7),1))</f>
        <v>6.2</v>
      </c>
      <c r="AM8" s="10"/>
      <c r="AN8" s="10"/>
      <c r="AO8" s="7" t="s">
        <v>122</v>
      </c>
      <c r="AP8" s="7" t="s">
        <v>97</v>
      </c>
      <c r="AQ8" s="7" t="s">
        <v>97</v>
      </c>
      <c r="AR8" s="7" t="s">
        <v>97</v>
      </c>
      <c r="AS8" s="7" t="s">
        <v>97</v>
      </c>
      <c r="AT8" s="7" t="s">
        <v>97</v>
      </c>
      <c r="AU8" s="7" t="s">
        <v>97</v>
      </c>
    </row>
    <row r="9" spans="1:47" ht="32" customHeight="1">
      <c r="A9" s="7" t="s">
        <v>133</v>
      </c>
      <c r="B9" s="7" t="s">
        <v>100</v>
      </c>
      <c r="C9" s="7" t="s">
        <v>101</v>
      </c>
      <c r="D9" s="7" t="s">
        <v>134</v>
      </c>
      <c r="E9" s="7" t="s">
        <v>125</v>
      </c>
      <c r="F9" s="7" t="s">
        <v>135</v>
      </c>
      <c r="G9" s="7" t="s">
        <v>105</v>
      </c>
      <c r="H9" s="7" t="s">
        <v>106</v>
      </c>
      <c r="I9" s="7" t="s">
        <v>107</v>
      </c>
      <c r="J9" s="7" t="s">
        <v>108</v>
      </c>
      <c r="K9" s="7" t="s">
        <v>109</v>
      </c>
      <c r="L9" s="7" t="s">
        <v>136</v>
      </c>
      <c r="M9" s="7" t="s">
        <v>111</v>
      </c>
      <c r="N9" s="7" t="s">
        <v>113</v>
      </c>
      <c r="O9" s="7" t="s">
        <v>111</v>
      </c>
      <c r="P9" s="7" t="s">
        <v>113</v>
      </c>
      <c r="Q9" s="7" t="s">
        <v>111</v>
      </c>
      <c r="R9" s="7" t="s">
        <v>111</v>
      </c>
      <c r="S9" s="7" t="s">
        <v>113</v>
      </c>
      <c r="T9" s="7" t="s">
        <v>122</v>
      </c>
      <c r="U9" s="7" t="s">
        <v>137</v>
      </c>
      <c r="V9" s="7" t="s">
        <v>138</v>
      </c>
      <c r="W9" s="7" t="s">
        <v>139</v>
      </c>
      <c r="X9" s="7" t="s">
        <v>140</v>
      </c>
      <c r="Y9" s="7" t="s">
        <v>118</v>
      </c>
      <c r="Z9" s="7" t="s">
        <v>141</v>
      </c>
      <c r="AA9" s="16">
        <v>46292</v>
      </c>
      <c r="AB9" s="7" t="s">
        <v>265</v>
      </c>
      <c r="AC9" s="7" t="s">
        <v>98</v>
      </c>
      <c r="AD9" s="7"/>
      <c r="AE9" s="7" t="s">
        <v>120</v>
      </c>
      <c r="AF9" s="9">
        <v>6</v>
      </c>
      <c r="AG9" s="9">
        <v>5</v>
      </c>
      <c r="AH9" s="9">
        <v>6</v>
      </c>
      <c r="AI9" s="9">
        <v>7</v>
      </c>
      <c r="AJ9" s="9">
        <v>7</v>
      </c>
      <c r="AK9" s="7" t="s">
        <v>142</v>
      </c>
      <c r="AL9" s="10">
        <f>IF(OR(A9="",COUNT(AF9:AJ9)&lt;5),"",ROUND(SUMPRODUCT(AF9:AJ9,Guia!$B$7:$F$7),1))</f>
        <v>6</v>
      </c>
      <c r="AM9" s="10"/>
      <c r="AN9" s="10"/>
      <c r="AO9" s="7" t="s">
        <v>122</v>
      </c>
      <c r="AP9" s="7" t="s">
        <v>97</v>
      </c>
      <c r="AQ9" s="7" t="s">
        <v>97</v>
      </c>
      <c r="AR9" s="7" t="s">
        <v>97</v>
      </c>
      <c r="AS9" s="7" t="s">
        <v>97</v>
      </c>
      <c r="AT9" s="7" t="s">
        <v>97</v>
      </c>
      <c r="AU9" s="7" t="s">
        <v>97</v>
      </c>
    </row>
    <row r="10" spans="1:47" ht="32" customHeight="1">
      <c r="A10" s="7" t="s">
        <v>143</v>
      </c>
      <c r="B10" s="7" t="s">
        <v>100</v>
      </c>
      <c r="C10" s="7" t="s">
        <v>101</v>
      </c>
      <c r="D10" s="7" t="s">
        <v>144</v>
      </c>
      <c r="E10" s="7" t="s">
        <v>103</v>
      </c>
      <c r="F10" s="7" t="s">
        <v>145</v>
      </c>
      <c r="G10" s="7" t="s">
        <v>105</v>
      </c>
      <c r="H10" s="7" t="s">
        <v>106</v>
      </c>
      <c r="I10" s="7" t="s">
        <v>107</v>
      </c>
      <c r="J10" s="7" t="s">
        <v>108</v>
      </c>
      <c r="K10" s="7" t="s">
        <v>109</v>
      </c>
      <c r="L10" s="7" t="s">
        <v>146</v>
      </c>
      <c r="M10" s="7" t="s">
        <v>122</v>
      </c>
      <c r="N10" s="7" t="s">
        <v>112</v>
      </c>
      <c r="O10" s="7" t="s">
        <v>111</v>
      </c>
      <c r="P10" s="7" t="s">
        <v>113</v>
      </c>
      <c r="Q10" s="7" t="s">
        <v>111</v>
      </c>
      <c r="R10" s="7" t="s">
        <v>112</v>
      </c>
      <c r="S10" s="7" t="s">
        <v>113</v>
      </c>
      <c r="T10" s="7" t="s">
        <v>165</v>
      </c>
      <c r="U10" s="7" t="s">
        <v>147</v>
      </c>
      <c r="V10" s="7" t="s">
        <v>148</v>
      </c>
      <c r="W10" s="7" t="s">
        <v>149</v>
      </c>
      <c r="X10" s="7" t="s">
        <v>140</v>
      </c>
      <c r="Y10" s="7" t="s">
        <v>150</v>
      </c>
      <c r="Z10" s="7" t="s">
        <v>151</v>
      </c>
      <c r="AA10" s="16">
        <v>46292</v>
      </c>
      <c r="AB10" s="7" t="s">
        <v>266</v>
      </c>
      <c r="AC10" s="7" t="s">
        <v>98</v>
      </c>
      <c r="AD10" s="7"/>
      <c r="AE10" s="7" t="s">
        <v>120</v>
      </c>
      <c r="AF10" s="9">
        <v>4</v>
      </c>
      <c r="AG10" s="9">
        <v>4</v>
      </c>
      <c r="AH10" s="9">
        <v>8</v>
      </c>
      <c r="AI10" s="9">
        <v>6</v>
      </c>
      <c r="AJ10" s="9">
        <v>8</v>
      </c>
      <c r="AK10" s="7" t="s">
        <v>152</v>
      </c>
      <c r="AL10" s="10">
        <f>IF(OR(A10="",COUNT(AF10:AJ10)&lt;5),"",ROUND(SUMPRODUCT(AF10:AJ10,Guia!$B$7:$F$7),1))</f>
        <v>5.4</v>
      </c>
      <c r="AM10" s="10"/>
      <c r="AN10" s="10"/>
      <c r="AO10" s="7" t="s">
        <v>122</v>
      </c>
      <c r="AP10" s="7" t="s">
        <v>97</v>
      </c>
      <c r="AQ10" s="7" t="s">
        <v>97</v>
      </c>
      <c r="AR10" s="7" t="s">
        <v>97</v>
      </c>
      <c r="AS10" s="7" t="s">
        <v>97</v>
      </c>
      <c r="AT10" s="7" t="s">
        <v>97</v>
      </c>
      <c r="AU10" s="7" t="s">
        <v>97</v>
      </c>
    </row>
    <row r="11" spans="1:47" ht="32" customHeight="1">
      <c r="A11" s="7" t="s">
        <v>153</v>
      </c>
      <c r="B11" s="7" t="s">
        <v>100</v>
      </c>
      <c r="C11" s="7" t="s">
        <v>101</v>
      </c>
      <c r="D11" s="7" t="s">
        <v>154</v>
      </c>
      <c r="E11" s="7" t="s">
        <v>125</v>
      </c>
      <c r="F11" s="7" t="s">
        <v>155</v>
      </c>
      <c r="G11" s="7" t="s">
        <v>105</v>
      </c>
      <c r="H11" s="7" t="s">
        <v>106</v>
      </c>
      <c r="I11" s="7" t="s">
        <v>107</v>
      </c>
      <c r="J11" s="7" t="s">
        <v>156</v>
      </c>
      <c r="K11" s="7" t="s">
        <v>157</v>
      </c>
      <c r="L11" s="7"/>
      <c r="M11" s="7" t="s">
        <v>111</v>
      </c>
      <c r="N11" s="7" t="s">
        <v>111</v>
      </c>
      <c r="O11" s="7" t="s">
        <v>111</v>
      </c>
      <c r="P11" s="7" t="s">
        <v>113</v>
      </c>
      <c r="Q11" s="7" t="s">
        <v>111</v>
      </c>
      <c r="R11" s="7" t="s">
        <v>111</v>
      </c>
      <c r="S11" s="7" t="s">
        <v>113</v>
      </c>
      <c r="T11" s="7" t="s">
        <v>122</v>
      </c>
      <c r="U11" s="7" t="s">
        <v>158</v>
      </c>
      <c r="V11" s="7" t="s">
        <v>159</v>
      </c>
      <c r="W11" s="7" t="s">
        <v>160</v>
      </c>
      <c r="X11" s="7" t="s">
        <v>161</v>
      </c>
      <c r="Y11" s="7" t="s">
        <v>162</v>
      </c>
      <c r="Z11" s="7" t="s">
        <v>163</v>
      </c>
      <c r="AA11" s="16">
        <v>46293</v>
      </c>
      <c r="AB11" s="7" t="s">
        <v>267</v>
      </c>
      <c r="AC11" s="7" t="s">
        <v>260</v>
      </c>
      <c r="AD11" s="7" t="s">
        <v>261</v>
      </c>
      <c r="AE11" s="7" t="s">
        <v>120</v>
      </c>
      <c r="AF11" s="9">
        <v>7</v>
      </c>
      <c r="AG11" s="9">
        <v>7</v>
      </c>
      <c r="AH11" s="9">
        <v>7</v>
      </c>
      <c r="AI11" s="9">
        <v>7</v>
      </c>
      <c r="AJ11" s="9">
        <v>7</v>
      </c>
      <c r="AK11" s="7" t="s">
        <v>595</v>
      </c>
      <c r="AL11" s="10">
        <f>IF(OR(A11="",COUNT(AF11:AJ11)&lt;5),"",ROUND(SUMPRODUCT(AF11:AJ11,Guia!$B$7:$F$7),1))</f>
        <v>7</v>
      </c>
      <c r="AM11" s="10"/>
      <c r="AN11" s="10"/>
      <c r="AO11" s="7" t="s">
        <v>122</v>
      </c>
      <c r="AP11" s="7" t="s">
        <v>97</v>
      </c>
      <c r="AQ11" s="7" t="s">
        <v>97</v>
      </c>
      <c r="AR11" s="7" t="s">
        <v>97</v>
      </c>
      <c r="AS11" s="7" t="s">
        <v>97</v>
      </c>
      <c r="AT11" s="7" t="s">
        <v>97</v>
      </c>
      <c r="AU11" s="7" t="s">
        <v>97</v>
      </c>
    </row>
    <row r="12" spans="1:47" ht="32" customHeight="1">
      <c r="A12" s="7" t="s">
        <v>166</v>
      </c>
      <c r="B12" s="7" t="s">
        <v>100</v>
      </c>
      <c r="C12" s="7" t="s">
        <v>167</v>
      </c>
      <c r="D12" s="7" t="s">
        <v>168</v>
      </c>
      <c r="E12" s="7" t="s">
        <v>125</v>
      </c>
      <c r="F12" s="7" t="s">
        <v>169</v>
      </c>
      <c r="G12" s="7" t="s">
        <v>105</v>
      </c>
      <c r="H12" s="7" t="s">
        <v>106</v>
      </c>
      <c r="I12" s="7" t="s">
        <v>107</v>
      </c>
      <c r="J12" s="7" t="s">
        <v>108</v>
      </c>
      <c r="K12" s="7" t="s">
        <v>109</v>
      </c>
      <c r="L12" s="7" t="s">
        <v>170</v>
      </c>
      <c r="M12" s="7" t="s">
        <v>111</v>
      </c>
      <c r="N12" s="7" t="s">
        <v>111</v>
      </c>
      <c r="O12" s="7" t="s">
        <v>111</v>
      </c>
      <c r="P12" s="7" t="s">
        <v>113</v>
      </c>
      <c r="Q12" s="7" t="s">
        <v>111</v>
      </c>
      <c r="R12" s="7" t="s">
        <v>111</v>
      </c>
      <c r="S12" s="7" t="s">
        <v>113</v>
      </c>
      <c r="T12" s="7" t="s">
        <v>165</v>
      </c>
      <c r="U12" s="7" t="s">
        <v>171</v>
      </c>
      <c r="V12" s="7" t="s">
        <v>172</v>
      </c>
      <c r="W12" s="7" t="s">
        <v>173</v>
      </c>
      <c r="X12" s="7" t="s">
        <v>174</v>
      </c>
      <c r="Y12" s="7" t="s">
        <v>118</v>
      </c>
      <c r="Z12" s="7" t="s">
        <v>175</v>
      </c>
      <c r="AA12" s="16">
        <v>46292</v>
      </c>
      <c r="AB12" s="7" t="s">
        <v>268</v>
      </c>
      <c r="AC12" s="7" t="s">
        <v>98</v>
      </c>
      <c r="AD12" s="7"/>
      <c r="AE12" s="7" t="s">
        <v>120</v>
      </c>
      <c r="AF12" s="9">
        <v>5</v>
      </c>
      <c r="AG12" s="9">
        <v>5</v>
      </c>
      <c r="AH12" s="9">
        <v>7</v>
      </c>
      <c r="AI12" s="9">
        <v>7</v>
      </c>
      <c r="AJ12" s="9">
        <v>8</v>
      </c>
      <c r="AK12" s="7" t="s">
        <v>176</v>
      </c>
      <c r="AL12" s="10">
        <f>IF(OR(A12="",COUNT(AF12:AJ12)&lt;5),"",ROUND(SUMPRODUCT(AF12:AJ12,Guia!$B$7:$F$7),1))</f>
        <v>6</v>
      </c>
      <c r="AM12" s="10"/>
      <c r="AN12" s="10"/>
      <c r="AO12" s="7" t="s">
        <v>122</v>
      </c>
      <c r="AP12" s="7" t="s">
        <v>97</v>
      </c>
      <c r="AQ12" s="7" t="s">
        <v>97</v>
      </c>
      <c r="AR12" s="7" t="s">
        <v>97</v>
      </c>
      <c r="AS12" s="7" t="s">
        <v>97</v>
      </c>
      <c r="AT12" s="7" t="s">
        <v>97</v>
      </c>
      <c r="AU12" s="7" t="s">
        <v>97</v>
      </c>
    </row>
    <row r="13" spans="1:47" ht="32" customHeight="1">
      <c r="A13" s="7" t="s">
        <v>177</v>
      </c>
      <c r="B13" s="7" t="s">
        <v>100</v>
      </c>
      <c r="C13" s="7" t="s">
        <v>167</v>
      </c>
      <c r="D13" s="7" t="s">
        <v>178</v>
      </c>
      <c r="E13" s="7" t="s">
        <v>125</v>
      </c>
      <c r="F13" s="7" t="s">
        <v>179</v>
      </c>
      <c r="G13" s="7" t="s">
        <v>105</v>
      </c>
      <c r="H13" s="7" t="s">
        <v>106</v>
      </c>
      <c r="I13" s="7" t="s">
        <v>107</v>
      </c>
      <c r="J13" s="7" t="s">
        <v>108</v>
      </c>
      <c r="K13" s="7" t="s">
        <v>109</v>
      </c>
      <c r="L13" s="7" t="s">
        <v>180</v>
      </c>
      <c r="M13" s="7" t="s">
        <v>111</v>
      </c>
      <c r="N13" s="7" t="s">
        <v>111</v>
      </c>
      <c r="O13" s="7" t="s">
        <v>111</v>
      </c>
      <c r="P13" s="7" t="s">
        <v>113</v>
      </c>
      <c r="Q13" s="7" t="s">
        <v>111</v>
      </c>
      <c r="R13" s="7" t="s">
        <v>122</v>
      </c>
      <c r="S13" s="7" t="s">
        <v>113</v>
      </c>
      <c r="T13" s="7" t="s">
        <v>165</v>
      </c>
      <c r="U13" s="7" t="s">
        <v>181</v>
      </c>
      <c r="V13" s="7" t="s">
        <v>182</v>
      </c>
      <c r="W13" s="7" t="s">
        <v>183</v>
      </c>
      <c r="X13" s="7" t="s">
        <v>184</v>
      </c>
      <c r="Y13" s="7" t="s">
        <v>118</v>
      </c>
      <c r="Z13" s="7" t="s">
        <v>185</v>
      </c>
      <c r="AA13" s="16">
        <v>46292</v>
      </c>
      <c r="AB13" s="7" t="s">
        <v>269</v>
      </c>
      <c r="AC13" s="7" t="s">
        <v>98</v>
      </c>
      <c r="AD13" s="7"/>
      <c r="AE13" s="7" t="s">
        <v>120</v>
      </c>
      <c r="AF13" s="9">
        <v>5</v>
      </c>
      <c r="AG13" s="9">
        <v>5</v>
      </c>
      <c r="AH13" s="9">
        <v>7</v>
      </c>
      <c r="AI13" s="9">
        <v>6</v>
      </c>
      <c r="AJ13" s="9">
        <v>7</v>
      </c>
      <c r="AK13" s="7" t="s">
        <v>186</v>
      </c>
      <c r="AL13" s="10">
        <f>IF(OR(A13="",COUNT(AF13:AJ13)&lt;5),"",ROUND(SUMPRODUCT(AF13:AJ13,Guia!$B$7:$F$7),1))</f>
        <v>5.7</v>
      </c>
      <c r="AM13" s="10"/>
      <c r="AN13" s="10"/>
      <c r="AO13" s="7" t="s">
        <v>122</v>
      </c>
      <c r="AP13" s="7" t="s">
        <v>97</v>
      </c>
      <c r="AQ13" s="7" t="s">
        <v>97</v>
      </c>
      <c r="AR13" s="7" t="s">
        <v>97</v>
      </c>
      <c r="AS13" s="7" t="s">
        <v>97</v>
      </c>
      <c r="AT13" s="7" t="s">
        <v>97</v>
      </c>
      <c r="AU13" s="7" t="s">
        <v>97</v>
      </c>
    </row>
    <row r="14" spans="1:47" ht="32" customHeight="1">
      <c r="A14" s="7" t="s">
        <v>187</v>
      </c>
      <c r="B14" s="7" t="s">
        <v>100</v>
      </c>
      <c r="C14" s="7" t="s">
        <v>167</v>
      </c>
      <c r="D14" s="7" t="s">
        <v>188</v>
      </c>
      <c r="E14" s="7" t="s">
        <v>125</v>
      </c>
      <c r="F14" s="7" t="s">
        <v>189</v>
      </c>
      <c r="G14" s="7" t="s">
        <v>105</v>
      </c>
      <c r="H14" s="7" t="s">
        <v>106</v>
      </c>
      <c r="I14" s="7" t="s">
        <v>107</v>
      </c>
      <c r="J14" s="7" t="s">
        <v>108</v>
      </c>
      <c r="K14" s="7" t="s">
        <v>190</v>
      </c>
      <c r="L14" s="7" t="s">
        <v>191</v>
      </c>
      <c r="M14" s="7" t="s">
        <v>112</v>
      </c>
      <c r="N14" s="7" t="s">
        <v>113</v>
      </c>
      <c r="O14" s="7" t="s">
        <v>111</v>
      </c>
      <c r="P14" s="7" t="s">
        <v>113</v>
      </c>
      <c r="Q14" s="7" t="s">
        <v>111</v>
      </c>
      <c r="R14" s="7" t="s">
        <v>111</v>
      </c>
      <c r="S14" s="7" t="s">
        <v>113</v>
      </c>
      <c r="T14" s="7" t="s">
        <v>122</v>
      </c>
      <c r="U14" s="7" t="s">
        <v>192</v>
      </c>
      <c r="V14" s="7" t="s">
        <v>193</v>
      </c>
      <c r="W14" s="7" t="s">
        <v>194</v>
      </c>
      <c r="X14" s="7" t="s">
        <v>195</v>
      </c>
      <c r="Y14" s="7" t="s">
        <v>162</v>
      </c>
      <c r="Z14" s="7" t="s">
        <v>196</v>
      </c>
      <c r="AA14" s="16">
        <v>46293</v>
      </c>
      <c r="AB14" s="7" t="s">
        <v>270</v>
      </c>
      <c r="AC14" s="7" t="s">
        <v>257</v>
      </c>
      <c r="AD14" s="7" t="s">
        <v>258</v>
      </c>
      <c r="AE14" s="7" t="s">
        <v>259</v>
      </c>
      <c r="AF14" s="9">
        <v>7</v>
      </c>
      <c r="AG14" s="9">
        <v>7</v>
      </c>
      <c r="AH14" s="9">
        <v>7</v>
      </c>
      <c r="AI14" s="9">
        <v>8</v>
      </c>
      <c r="AJ14" s="9">
        <v>8</v>
      </c>
      <c r="AK14" s="7" t="s">
        <v>596</v>
      </c>
      <c r="AL14" s="10">
        <f>IF(OR(A14="",COUNT(AF14:AJ14)&lt;5),"",ROUND(SUMPRODUCT(AF14:AJ14,Guia!$B$7:$F$7),1))</f>
        <v>7.3</v>
      </c>
      <c r="AM14" s="10">
        <v>7</v>
      </c>
      <c r="AN14" s="10" t="s">
        <v>285</v>
      </c>
      <c r="AO14" s="7" t="s">
        <v>122</v>
      </c>
      <c r="AP14" s="7" t="s">
        <v>122</v>
      </c>
      <c r="AQ14" s="7" t="s">
        <v>122</v>
      </c>
      <c r="AR14" s="7" t="s">
        <v>122</v>
      </c>
      <c r="AS14" s="7" t="s">
        <v>122</v>
      </c>
      <c r="AT14" s="7" t="s">
        <v>122</v>
      </c>
      <c r="AU14" s="7" t="s">
        <v>97</v>
      </c>
    </row>
    <row r="15" spans="1:47" ht="32" customHeight="1">
      <c r="A15" s="7" t="s">
        <v>197</v>
      </c>
      <c r="B15" s="7" t="s">
        <v>100</v>
      </c>
      <c r="C15" s="7" t="s">
        <v>167</v>
      </c>
      <c r="D15" s="7" t="s">
        <v>198</v>
      </c>
      <c r="E15" s="7" t="s">
        <v>103</v>
      </c>
      <c r="F15" s="7" t="s">
        <v>199</v>
      </c>
      <c r="G15" s="7" t="s">
        <v>105</v>
      </c>
      <c r="H15" s="7" t="s">
        <v>106</v>
      </c>
      <c r="I15" s="7" t="s">
        <v>107</v>
      </c>
      <c r="J15" s="7" t="s">
        <v>108</v>
      </c>
      <c r="K15" s="7" t="s">
        <v>109</v>
      </c>
      <c r="L15" s="7" t="s">
        <v>200</v>
      </c>
      <c r="M15" s="7" t="s">
        <v>122</v>
      </c>
      <c r="N15" s="7" t="s">
        <v>111</v>
      </c>
      <c r="O15" s="7" t="s">
        <v>111</v>
      </c>
      <c r="P15" s="7" t="s">
        <v>113</v>
      </c>
      <c r="Q15" s="7" t="s">
        <v>111</v>
      </c>
      <c r="R15" s="7" t="s">
        <v>111</v>
      </c>
      <c r="S15" s="7" t="s">
        <v>111</v>
      </c>
      <c r="T15" s="7" t="s">
        <v>165</v>
      </c>
      <c r="U15" s="7" t="s">
        <v>201</v>
      </c>
      <c r="V15" s="7" t="s">
        <v>202</v>
      </c>
      <c r="W15" s="7" t="s">
        <v>203</v>
      </c>
      <c r="X15" s="17" t="s">
        <v>204</v>
      </c>
      <c r="Y15" s="7" t="s">
        <v>150</v>
      </c>
      <c r="Z15" s="7" t="s">
        <v>205</v>
      </c>
      <c r="AA15" s="16">
        <v>46292</v>
      </c>
      <c r="AB15" s="7" t="s">
        <v>271</v>
      </c>
      <c r="AC15" s="7" t="s">
        <v>98</v>
      </c>
      <c r="AD15" s="7"/>
      <c r="AE15" s="7" t="s">
        <v>120</v>
      </c>
      <c r="AF15" s="9">
        <v>4</v>
      </c>
      <c r="AG15" s="9">
        <v>4</v>
      </c>
      <c r="AH15" s="9">
        <v>8</v>
      </c>
      <c r="AI15" s="9">
        <v>5</v>
      </c>
      <c r="AJ15" s="9">
        <v>6</v>
      </c>
      <c r="AK15" s="7" t="s">
        <v>206</v>
      </c>
      <c r="AL15" s="10">
        <f>IF(OR(A15="",COUNT(AF15:AJ15)&lt;5),"",ROUND(SUMPRODUCT(AF15:AJ15,Guia!$B$7:$F$7),1))</f>
        <v>5</v>
      </c>
      <c r="AM15" s="10"/>
      <c r="AN15" s="10"/>
      <c r="AO15" s="7" t="s">
        <v>122</v>
      </c>
      <c r="AP15" s="7" t="s">
        <v>97</v>
      </c>
      <c r="AQ15" s="7" t="s">
        <v>97</v>
      </c>
      <c r="AR15" s="7" t="s">
        <v>97</v>
      </c>
      <c r="AS15" s="7" t="s">
        <v>97</v>
      </c>
      <c r="AT15" s="7" t="s">
        <v>97</v>
      </c>
      <c r="AU15" s="7" t="s">
        <v>97</v>
      </c>
    </row>
    <row r="16" spans="1:47" ht="32" customHeight="1">
      <c r="A16" s="7" t="s">
        <v>207</v>
      </c>
      <c r="B16" s="7" t="s">
        <v>100</v>
      </c>
      <c r="C16" s="7" t="s">
        <v>167</v>
      </c>
      <c r="D16" s="7" t="s">
        <v>208</v>
      </c>
      <c r="E16" s="7" t="s">
        <v>125</v>
      </c>
      <c r="F16" s="7" t="s">
        <v>209</v>
      </c>
      <c r="G16" s="7" t="s">
        <v>105</v>
      </c>
      <c r="H16" s="7" t="s">
        <v>106</v>
      </c>
      <c r="I16" s="7" t="s">
        <v>107</v>
      </c>
      <c r="J16" s="7" t="s">
        <v>156</v>
      </c>
      <c r="K16" s="7" t="s">
        <v>210</v>
      </c>
      <c r="L16" s="7"/>
      <c r="M16" s="7" t="s">
        <v>111</v>
      </c>
      <c r="N16" s="7" t="s">
        <v>112</v>
      </c>
      <c r="O16" s="7" t="s">
        <v>111</v>
      </c>
      <c r="P16" s="7" t="s">
        <v>113</v>
      </c>
      <c r="Q16" s="7" t="s">
        <v>111</v>
      </c>
      <c r="R16" s="7" t="s">
        <v>111</v>
      </c>
      <c r="S16" s="7" t="s">
        <v>113</v>
      </c>
      <c r="T16" s="7" t="s">
        <v>122</v>
      </c>
      <c r="U16" s="7" t="s">
        <v>211</v>
      </c>
      <c r="V16" s="7" t="s">
        <v>212</v>
      </c>
      <c r="W16" s="7" t="s">
        <v>213</v>
      </c>
      <c r="X16" s="7" t="s">
        <v>214</v>
      </c>
      <c r="Y16" s="7" t="s">
        <v>162</v>
      </c>
      <c r="Z16" s="7" t="s">
        <v>215</v>
      </c>
      <c r="AA16" s="16">
        <v>46293</v>
      </c>
      <c r="AB16" s="7" t="s">
        <v>272</v>
      </c>
      <c r="AC16" s="7" t="s">
        <v>257</v>
      </c>
      <c r="AD16" s="7" t="s">
        <v>262</v>
      </c>
      <c r="AE16" s="7" t="s">
        <v>120</v>
      </c>
      <c r="AF16" s="9">
        <v>7</v>
      </c>
      <c r="AG16" s="9">
        <v>8</v>
      </c>
      <c r="AH16" s="9">
        <v>7</v>
      </c>
      <c r="AI16" s="9">
        <v>8</v>
      </c>
      <c r="AJ16" s="9">
        <v>7</v>
      </c>
      <c r="AK16" s="7" t="s">
        <v>597</v>
      </c>
      <c r="AL16" s="10">
        <f>IF(OR(A16="",COUNT(AF16:AJ16)&lt;5),"",ROUND(SUMPRODUCT(AF16:AJ16,Guia!$B$7:$F$7),1))</f>
        <v>7.5</v>
      </c>
      <c r="AM16" s="10"/>
      <c r="AN16" s="10"/>
      <c r="AO16" s="7" t="s">
        <v>122</v>
      </c>
      <c r="AP16" s="7" t="s">
        <v>97</v>
      </c>
      <c r="AQ16" s="7" t="s">
        <v>97</v>
      </c>
      <c r="AR16" s="7" t="s">
        <v>97</v>
      </c>
      <c r="AS16" s="7" t="s">
        <v>97</v>
      </c>
      <c r="AT16" s="7" t="s">
        <v>97</v>
      </c>
      <c r="AU16" s="7" t="s">
        <v>97</v>
      </c>
    </row>
    <row r="17" spans="1:47" ht="32" customHeight="1">
      <c r="A17" s="7" t="s">
        <v>216</v>
      </c>
      <c r="B17" s="7" t="s">
        <v>100</v>
      </c>
      <c r="C17" s="7" t="s">
        <v>217</v>
      </c>
      <c r="D17" s="7" t="s">
        <v>218</v>
      </c>
      <c r="E17" s="7" t="s">
        <v>125</v>
      </c>
      <c r="F17" s="7" t="s">
        <v>219</v>
      </c>
      <c r="G17" s="7" t="s">
        <v>105</v>
      </c>
      <c r="H17" s="7" t="s">
        <v>106</v>
      </c>
      <c r="I17" s="7" t="s">
        <v>107</v>
      </c>
      <c r="J17" s="7" t="s">
        <v>108</v>
      </c>
      <c r="K17" s="7" t="s">
        <v>210</v>
      </c>
      <c r="L17" s="7"/>
      <c r="M17" s="7" t="s">
        <v>111</v>
      </c>
      <c r="N17" s="7" t="s">
        <v>113</v>
      </c>
      <c r="O17" s="7" t="s">
        <v>111</v>
      </c>
      <c r="P17" s="7" t="s">
        <v>113</v>
      </c>
      <c r="Q17" s="7" t="s">
        <v>111</v>
      </c>
      <c r="R17" s="7" t="s">
        <v>111</v>
      </c>
      <c r="S17" s="7" t="s">
        <v>113</v>
      </c>
      <c r="T17" s="7" t="s">
        <v>165</v>
      </c>
      <c r="U17" s="7" t="s">
        <v>231</v>
      </c>
      <c r="V17" s="7" t="s">
        <v>232</v>
      </c>
      <c r="W17" s="7" t="s">
        <v>608</v>
      </c>
      <c r="X17" s="7" t="s">
        <v>233</v>
      </c>
      <c r="Y17" s="7" t="s">
        <v>118</v>
      </c>
      <c r="Z17" s="7" t="s">
        <v>234</v>
      </c>
      <c r="AA17" s="16">
        <v>46293</v>
      </c>
      <c r="AB17" s="7" t="s">
        <v>273</v>
      </c>
      <c r="AC17" s="7" t="s">
        <v>98</v>
      </c>
      <c r="AD17" s="7"/>
      <c r="AE17" s="7" t="s">
        <v>120</v>
      </c>
      <c r="AF17" s="9">
        <v>7</v>
      </c>
      <c r="AG17" s="9">
        <v>8</v>
      </c>
      <c r="AH17" s="9">
        <v>7</v>
      </c>
      <c r="AI17" s="9">
        <v>8</v>
      </c>
      <c r="AJ17" s="9">
        <v>7</v>
      </c>
      <c r="AK17" s="7" t="s">
        <v>609</v>
      </c>
      <c r="AL17" s="10">
        <f>IF(OR(A17="",COUNT(AF17:AJ17)&lt;5),"",ROUND(SUMPRODUCT(AF17:AJ17,Guia!$B$7:$F$7),1))</f>
        <v>7.5</v>
      </c>
      <c r="AM17" s="10"/>
      <c r="AN17" s="10"/>
      <c r="AO17" s="7" t="s">
        <v>122</v>
      </c>
      <c r="AP17" s="7" t="s">
        <v>97</v>
      </c>
      <c r="AQ17" s="7" t="s">
        <v>97</v>
      </c>
      <c r="AR17" s="7" t="s">
        <v>97</v>
      </c>
      <c r="AS17" s="7" t="s">
        <v>97</v>
      </c>
      <c r="AT17" s="7" t="s">
        <v>97</v>
      </c>
      <c r="AU17" s="7" t="s">
        <v>97</v>
      </c>
    </row>
    <row r="18" spans="1:47" ht="32" customHeight="1">
      <c r="A18" s="7" t="s">
        <v>220</v>
      </c>
      <c r="B18" s="7" t="s">
        <v>100</v>
      </c>
      <c r="C18" s="7" t="s">
        <v>217</v>
      </c>
      <c r="D18" s="7" t="s">
        <v>221</v>
      </c>
      <c r="E18" s="7" t="s">
        <v>125</v>
      </c>
      <c r="F18" s="7" t="s">
        <v>235</v>
      </c>
      <c r="G18" s="7" t="s">
        <v>105</v>
      </c>
      <c r="H18" s="7" t="s">
        <v>106</v>
      </c>
      <c r="I18" s="7" t="s">
        <v>107</v>
      </c>
      <c r="J18" s="7" t="s">
        <v>156</v>
      </c>
      <c r="K18" s="7" t="s">
        <v>236</v>
      </c>
      <c r="L18" s="7"/>
      <c r="M18" s="7" t="s">
        <v>111</v>
      </c>
      <c r="N18" s="7" t="s">
        <v>111</v>
      </c>
      <c r="O18" s="7" t="s">
        <v>113</v>
      </c>
      <c r="P18" s="7" t="s">
        <v>113</v>
      </c>
      <c r="Q18" s="7" t="s">
        <v>111</v>
      </c>
      <c r="R18" s="7" t="s">
        <v>111</v>
      </c>
      <c r="S18" s="7" t="s">
        <v>113</v>
      </c>
      <c r="T18" s="7" t="s">
        <v>165</v>
      </c>
      <c r="U18" s="7" t="s">
        <v>237</v>
      </c>
      <c r="V18" s="7" t="s">
        <v>238</v>
      </c>
      <c r="W18" s="7" t="s">
        <v>239</v>
      </c>
      <c r="X18" s="7" t="s">
        <v>240</v>
      </c>
      <c r="Y18" s="7" t="s">
        <v>162</v>
      </c>
      <c r="Z18" s="7" t="s">
        <v>241</v>
      </c>
      <c r="AA18" s="16">
        <v>46293</v>
      </c>
      <c r="AB18" s="7" t="s">
        <v>274</v>
      </c>
      <c r="AC18" s="7" t="s">
        <v>98</v>
      </c>
      <c r="AD18" s="7"/>
      <c r="AE18" s="7" t="s">
        <v>120</v>
      </c>
      <c r="AF18" s="9">
        <v>7</v>
      </c>
      <c r="AG18" s="9">
        <v>8</v>
      </c>
      <c r="AH18" s="9">
        <v>7</v>
      </c>
      <c r="AI18" s="9">
        <v>8</v>
      </c>
      <c r="AJ18" s="9">
        <v>7</v>
      </c>
      <c r="AK18" s="7" t="s">
        <v>598</v>
      </c>
      <c r="AL18" s="10">
        <f>IF(OR(A18="",COUNT(AF18:AJ18)&lt;5),"",ROUND(SUMPRODUCT(AF18:AJ18,Guia!$B$7:$F$7),1))</f>
        <v>7.5</v>
      </c>
      <c r="AM18" s="10"/>
      <c r="AN18" s="10"/>
      <c r="AO18" s="7" t="s">
        <v>122</v>
      </c>
      <c r="AP18" s="7" t="s">
        <v>97</v>
      </c>
      <c r="AQ18" s="7" t="s">
        <v>97</v>
      </c>
      <c r="AR18" s="7" t="s">
        <v>97</v>
      </c>
      <c r="AS18" s="7" t="s">
        <v>97</v>
      </c>
      <c r="AT18" s="7" t="s">
        <v>97</v>
      </c>
      <c r="AU18" s="7" t="s">
        <v>97</v>
      </c>
    </row>
    <row r="19" spans="1:47" ht="32" customHeight="1">
      <c r="A19" s="7" t="s">
        <v>222</v>
      </c>
      <c r="B19" s="7" t="s">
        <v>100</v>
      </c>
      <c r="C19" s="7" t="s">
        <v>217</v>
      </c>
      <c r="D19" s="7" t="s">
        <v>223</v>
      </c>
      <c r="E19" s="7" t="s">
        <v>125</v>
      </c>
      <c r="F19" s="7" t="s">
        <v>224</v>
      </c>
      <c r="G19" s="7" t="s">
        <v>105</v>
      </c>
      <c r="H19" s="7" t="s">
        <v>106</v>
      </c>
      <c r="I19" s="7" t="s">
        <v>107</v>
      </c>
      <c r="J19" s="7" t="s">
        <v>108</v>
      </c>
      <c r="K19" s="7" t="s">
        <v>236</v>
      </c>
      <c r="L19" s="7"/>
      <c r="M19" s="7" t="s">
        <v>111</v>
      </c>
      <c r="N19" s="7" t="s">
        <v>111</v>
      </c>
      <c r="O19" s="7" t="s">
        <v>113</v>
      </c>
      <c r="P19" s="7" t="s">
        <v>113</v>
      </c>
      <c r="Q19" s="7" t="s">
        <v>111</v>
      </c>
      <c r="R19" s="7" t="s">
        <v>122</v>
      </c>
      <c r="S19" s="7" t="s">
        <v>113</v>
      </c>
      <c r="T19" s="7" t="s">
        <v>122</v>
      </c>
      <c r="U19" s="7" t="s">
        <v>242</v>
      </c>
      <c r="V19" s="7" t="s">
        <v>243</v>
      </c>
      <c r="W19" s="7" t="s">
        <v>244</v>
      </c>
      <c r="X19" s="7" t="s">
        <v>245</v>
      </c>
      <c r="Y19" s="7" t="s">
        <v>118</v>
      </c>
      <c r="Z19" s="7" t="s">
        <v>246</v>
      </c>
      <c r="AA19" s="16">
        <v>46293</v>
      </c>
      <c r="AB19" s="7" t="s">
        <v>275</v>
      </c>
      <c r="AC19" s="7" t="s">
        <v>98</v>
      </c>
      <c r="AD19" s="7"/>
      <c r="AE19" s="7" t="s">
        <v>120</v>
      </c>
      <c r="AF19" s="9">
        <v>7</v>
      </c>
      <c r="AG19" s="9">
        <v>8</v>
      </c>
      <c r="AH19" s="9">
        <v>7</v>
      </c>
      <c r="AI19" s="9">
        <v>8</v>
      </c>
      <c r="AJ19" s="9">
        <v>7</v>
      </c>
      <c r="AK19" s="7" t="s">
        <v>599</v>
      </c>
      <c r="AL19" s="10">
        <f>IF(OR(A19="",COUNT(AF19:AJ19)&lt;5),"",ROUND(SUMPRODUCT(AF19:AJ19,Guia!$B$7:$F$7),1))</f>
        <v>7.5</v>
      </c>
      <c r="AM19" s="10"/>
      <c r="AN19" s="10"/>
      <c r="AO19" s="7" t="s">
        <v>122</v>
      </c>
      <c r="AP19" s="7" t="s">
        <v>97</v>
      </c>
      <c r="AQ19" s="7" t="s">
        <v>97</v>
      </c>
      <c r="AR19" s="7" t="s">
        <v>97</v>
      </c>
      <c r="AS19" s="7" t="s">
        <v>97</v>
      </c>
      <c r="AT19" s="7" t="s">
        <v>97</v>
      </c>
      <c r="AU19" s="7" t="s">
        <v>97</v>
      </c>
    </row>
    <row r="20" spans="1:47" ht="32" customHeight="1">
      <c r="A20" s="7" t="s">
        <v>225</v>
      </c>
      <c r="B20" s="7" t="s">
        <v>100</v>
      </c>
      <c r="C20" s="7" t="s">
        <v>217</v>
      </c>
      <c r="D20" s="7" t="s">
        <v>226</v>
      </c>
      <c r="E20" s="7" t="s">
        <v>103</v>
      </c>
      <c r="F20" s="7" t="s">
        <v>227</v>
      </c>
      <c r="G20" s="7" t="s">
        <v>105</v>
      </c>
      <c r="H20" s="7" t="s">
        <v>106</v>
      </c>
      <c r="I20" s="7" t="s">
        <v>107</v>
      </c>
      <c r="J20" s="7" t="s">
        <v>108</v>
      </c>
      <c r="K20" s="7" t="s">
        <v>109</v>
      </c>
      <c r="L20" s="7" t="s">
        <v>247</v>
      </c>
      <c r="M20" s="7" t="s">
        <v>122</v>
      </c>
      <c r="N20" s="7" t="s">
        <v>111</v>
      </c>
      <c r="O20" s="7" t="s">
        <v>111</v>
      </c>
      <c r="P20" s="7" t="s">
        <v>113</v>
      </c>
      <c r="Q20" s="7" t="s">
        <v>111</v>
      </c>
      <c r="R20" s="7" t="s">
        <v>111</v>
      </c>
      <c r="S20" s="7" t="s">
        <v>113</v>
      </c>
      <c r="T20" s="7" t="s">
        <v>165</v>
      </c>
      <c r="U20" s="7" t="s">
        <v>248</v>
      </c>
      <c r="V20" s="7" t="s">
        <v>249</v>
      </c>
      <c r="W20" s="7" t="s">
        <v>250</v>
      </c>
      <c r="X20" s="17" t="s">
        <v>204</v>
      </c>
      <c r="Y20" s="7" t="s">
        <v>150</v>
      </c>
      <c r="Z20" s="7" t="s">
        <v>247</v>
      </c>
      <c r="AA20" s="16">
        <v>46292</v>
      </c>
      <c r="AB20" s="7" t="s">
        <v>276</v>
      </c>
      <c r="AC20" s="7" t="s">
        <v>98</v>
      </c>
      <c r="AD20" s="7"/>
      <c r="AE20" s="7" t="s">
        <v>120</v>
      </c>
      <c r="AF20" s="9">
        <v>4</v>
      </c>
      <c r="AG20" s="9">
        <v>4</v>
      </c>
      <c r="AH20" s="9">
        <v>7</v>
      </c>
      <c r="AI20" s="9">
        <v>7</v>
      </c>
      <c r="AJ20" s="9">
        <v>7</v>
      </c>
      <c r="AK20" s="7" t="s">
        <v>251</v>
      </c>
      <c r="AL20" s="10">
        <f>IF(OR(A20="",COUNT(AF20:AJ20)&lt;5),"",ROUND(SUMPRODUCT(AF20:AJ20,Guia!$B$7:$F$7),1))</f>
        <v>5.4</v>
      </c>
      <c r="AM20" s="10"/>
      <c r="AN20" s="10"/>
      <c r="AO20" s="7" t="s">
        <v>122</v>
      </c>
      <c r="AP20" s="7" t="s">
        <v>97</v>
      </c>
      <c r="AQ20" s="7" t="s">
        <v>97</v>
      </c>
      <c r="AR20" s="7" t="s">
        <v>97</v>
      </c>
      <c r="AS20" s="7" t="s">
        <v>97</v>
      </c>
      <c r="AT20" s="7" t="s">
        <v>97</v>
      </c>
      <c r="AU20" s="7" t="s">
        <v>97</v>
      </c>
    </row>
    <row r="21" spans="1:47" ht="32" customHeight="1">
      <c r="A21" s="7" t="s">
        <v>228</v>
      </c>
      <c r="B21" s="7" t="s">
        <v>100</v>
      </c>
      <c r="C21" s="7" t="s">
        <v>217</v>
      </c>
      <c r="D21" s="7" t="s">
        <v>229</v>
      </c>
      <c r="E21" s="7" t="s">
        <v>103</v>
      </c>
      <c r="F21" s="7" t="s">
        <v>230</v>
      </c>
      <c r="G21" s="7" t="s">
        <v>105</v>
      </c>
      <c r="H21" s="7" t="s">
        <v>106</v>
      </c>
      <c r="I21" s="7" t="s">
        <v>107</v>
      </c>
      <c r="J21" s="7" t="s">
        <v>108</v>
      </c>
      <c r="K21" s="7" t="s">
        <v>236</v>
      </c>
      <c r="L21" s="7"/>
      <c r="M21" s="7" t="s">
        <v>122</v>
      </c>
      <c r="N21" s="7" t="s">
        <v>111</v>
      </c>
      <c r="O21" s="7" t="s">
        <v>111</v>
      </c>
      <c r="P21" s="7" t="s">
        <v>113</v>
      </c>
      <c r="Q21" s="7" t="s">
        <v>111</v>
      </c>
      <c r="R21" s="7" t="s">
        <v>111</v>
      </c>
      <c r="S21" s="7" t="s">
        <v>113</v>
      </c>
      <c r="T21" s="7" t="s">
        <v>97</v>
      </c>
      <c r="U21" s="7" t="s">
        <v>252</v>
      </c>
      <c r="V21" s="7" t="s">
        <v>253</v>
      </c>
      <c r="W21" s="7" t="s">
        <v>254</v>
      </c>
      <c r="X21" s="17" t="s">
        <v>204</v>
      </c>
      <c r="Y21" s="7" t="s">
        <v>150</v>
      </c>
      <c r="Z21" s="7" t="s">
        <v>255</v>
      </c>
      <c r="AA21" s="16">
        <v>46292</v>
      </c>
      <c r="AB21" s="7" t="s">
        <v>277</v>
      </c>
      <c r="AC21" s="7" t="s">
        <v>98</v>
      </c>
      <c r="AD21" s="7"/>
      <c r="AE21" s="7" t="s">
        <v>120</v>
      </c>
      <c r="AF21" s="9">
        <v>4</v>
      </c>
      <c r="AG21" s="9">
        <v>3</v>
      </c>
      <c r="AH21" s="9">
        <v>7</v>
      </c>
      <c r="AI21" s="9">
        <v>5</v>
      </c>
      <c r="AJ21" s="9">
        <v>6</v>
      </c>
      <c r="AK21" s="7" t="s">
        <v>256</v>
      </c>
      <c r="AL21" s="10">
        <f>IF(OR(A21="",COUNT(AF21:AJ21)&lt;5),"",ROUND(SUMPRODUCT(AF21:AJ21,Guia!$B$7:$F$7),1))</f>
        <v>4.5999999999999996</v>
      </c>
      <c r="AM21" s="10"/>
      <c r="AN21" s="10"/>
      <c r="AO21" s="7" t="s">
        <v>122</v>
      </c>
      <c r="AP21" s="7" t="s">
        <v>97</v>
      </c>
      <c r="AQ21" s="7" t="s">
        <v>97</v>
      </c>
      <c r="AR21" s="7" t="s">
        <v>97</v>
      </c>
      <c r="AS21" s="7" t="s">
        <v>97</v>
      </c>
      <c r="AT21" s="7" t="s">
        <v>97</v>
      </c>
      <c r="AU21" s="7" t="s">
        <v>97</v>
      </c>
    </row>
    <row r="22" spans="1:47" ht="32" customHeight="1">
      <c r="A22" s="7" t="s">
        <v>286</v>
      </c>
      <c r="B22" s="7" t="s">
        <v>100</v>
      </c>
      <c r="C22" s="7" t="s">
        <v>287</v>
      </c>
      <c r="D22" s="7" t="s">
        <v>288</v>
      </c>
      <c r="E22" s="7" t="s">
        <v>103</v>
      </c>
      <c r="F22" s="7" t="s">
        <v>289</v>
      </c>
      <c r="G22" s="7" t="s">
        <v>105</v>
      </c>
      <c r="H22" s="7" t="s">
        <v>106</v>
      </c>
      <c r="I22" s="7" t="s">
        <v>107</v>
      </c>
      <c r="J22" s="7" t="s">
        <v>108</v>
      </c>
      <c r="K22" s="7" t="s">
        <v>109</v>
      </c>
      <c r="L22" s="7" t="s">
        <v>308</v>
      </c>
      <c r="M22" s="7" t="s">
        <v>122</v>
      </c>
      <c r="N22" s="7" t="s">
        <v>122</v>
      </c>
      <c r="O22" s="7" t="s">
        <v>113</v>
      </c>
      <c r="P22" s="7" t="s">
        <v>113</v>
      </c>
      <c r="Q22" s="7" t="s">
        <v>112</v>
      </c>
      <c r="R22" s="7" t="s">
        <v>122</v>
      </c>
      <c r="S22" s="7" t="s">
        <v>113</v>
      </c>
      <c r="T22" s="7" t="s">
        <v>122</v>
      </c>
      <c r="U22" s="7" t="s">
        <v>309</v>
      </c>
      <c r="V22" s="7" t="s">
        <v>310</v>
      </c>
      <c r="W22" s="7" t="s">
        <v>311</v>
      </c>
      <c r="X22" s="7" t="s">
        <v>312</v>
      </c>
      <c r="Y22" s="7" t="s">
        <v>118</v>
      </c>
      <c r="Z22" s="7" t="s">
        <v>313</v>
      </c>
      <c r="AA22" s="16">
        <v>46293</v>
      </c>
      <c r="AB22" s="7" t="s">
        <v>290</v>
      </c>
      <c r="AC22" s="7" t="s">
        <v>98</v>
      </c>
      <c r="AD22" s="7"/>
      <c r="AE22" s="7" t="s">
        <v>120</v>
      </c>
      <c r="AF22" s="9">
        <v>4</v>
      </c>
      <c r="AG22" s="9">
        <v>4</v>
      </c>
      <c r="AH22" s="9">
        <v>8</v>
      </c>
      <c r="AI22" s="9">
        <v>6</v>
      </c>
      <c r="AJ22" s="9">
        <v>8</v>
      </c>
      <c r="AK22" s="7" t="s">
        <v>314</v>
      </c>
      <c r="AL22" s="10">
        <f>IF(OR(A22="",COUNT(AF22:AJ22)&lt;5),"",ROUND(SUMPRODUCT(AF22:AJ22,Guia!$B$7:$F$7),1))</f>
        <v>5.4</v>
      </c>
      <c r="AM22" s="10"/>
      <c r="AN22" s="10"/>
      <c r="AO22" s="7" t="s">
        <v>122</v>
      </c>
      <c r="AP22" s="7" t="s">
        <v>97</v>
      </c>
      <c r="AQ22" s="7" t="s">
        <v>97</v>
      </c>
      <c r="AR22" s="7" t="s">
        <v>97</v>
      </c>
      <c r="AS22" s="7" t="s">
        <v>97</v>
      </c>
      <c r="AT22" s="7" t="s">
        <v>97</v>
      </c>
      <c r="AU22" s="7" t="s">
        <v>97</v>
      </c>
    </row>
    <row r="23" spans="1:47" ht="32" customHeight="1">
      <c r="A23" s="7" t="s">
        <v>291</v>
      </c>
      <c r="B23" s="7" t="s">
        <v>100</v>
      </c>
      <c r="C23" s="7" t="s">
        <v>287</v>
      </c>
      <c r="D23" s="7" t="s">
        <v>292</v>
      </c>
      <c r="E23" s="7" t="s">
        <v>103</v>
      </c>
      <c r="F23" s="7" t="s">
        <v>293</v>
      </c>
      <c r="G23" s="7" t="s">
        <v>105</v>
      </c>
      <c r="H23" s="7" t="s">
        <v>106</v>
      </c>
      <c r="I23" s="7" t="s">
        <v>107</v>
      </c>
      <c r="J23" s="7" t="s">
        <v>156</v>
      </c>
      <c r="K23" s="7" t="s">
        <v>157</v>
      </c>
      <c r="L23" s="7"/>
      <c r="M23" s="7" t="s">
        <v>111</v>
      </c>
      <c r="N23" s="7" t="s">
        <v>111</v>
      </c>
      <c r="O23" s="7" t="s">
        <v>113</v>
      </c>
      <c r="P23" s="7" t="s">
        <v>113</v>
      </c>
      <c r="Q23" s="7" t="s">
        <v>111</v>
      </c>
      <c r="R23" s="7" t="s">
        <v>111</v>
      </c>
      <c r="S23" s="7" t="s">
        <v>113</v>
      </c>
      <c r="T23" s="7" t="s">
        <v>165</v>
      </c>
      <c r="U23" s="7" t="s">
        <v>315</v>
      </c>
      <c r="V23" s="7" t="s">
        <v>316</v>
      </c>
      <c r="W23" s="7" t="s">
        <v>317</v>
      </c>
      <c r="X23" s="7" t="s">
        <v>318</v>
      </c>
      <c r="Y23" s="7" t="s">
        <v>162</v>
      </c>
      <c r="Z23" s="7" t="s">
        <v>319</v>
      </c>
      <c r="AA23" s="16">
        <v>46293</v>
      </c>
      <c r="AB23" s="7" t="s">
        <v>294</v>
      </c>
      <c r="AC23" s="7" t="s">
        <v>98</v>
      </c>
      <c r="AD23" s="7"/>
      <c r="AE23" s="7" t="s">
        <v>120</v>
      </c>
      <c r="AF23" s="9">
        <v>7</v>
      </c>
      <c r="AG23" s="9">
        <v>7</v>
      </c>
      <c r="AH23" s="9">
        <v>7</v>
      </c>
      <c r="AI23" s="9">
        <v>7</v>
      </c>
      <c r="AJ23" s="9">
        <v>7</v>
      </c>
      <c r="AK23" s="7" t="s">
        <v>600</v>
      </c>
      <c r="AL23" s="10">
        <f>IF(OR(A23="",COUNT(AF23:AJ23)&lt;5),"",ROUND(SUMPRODUCT(AF23:AJ23,Guia!$B$7:$F$7),1))</f>
        <v>7</v>
      </c>
      <c r="AM23" s="10"/>
      <c r="AN23" s="10"/>
      <c r="AO23" s="7" t="s">
        <v>122</v>
      </c>
      <c r="AP23" s="7" t="s">
        <v>97</v>
      </c>
      <c r="AQ23" s="7" t="s">
        <v>97</v>
      </c>
      <c r="AR23" s="7" t="s">
        <v>97</v>
      </c>
      <c r="AS23" s="7" t="s">
        <v>97</v>
      </c>
      <c r="AT23" s="7" t="s">
        <v>97</v>
      </c>
      <c r="AU23" s="7" t="s">
        <v>97</v>
      </c>
    </row>
    <row r="24" spans="1:47" ht="32" customHeight="1">
      <c r="A24" s="7" t="s">
        <v>295</v>
      </c>
      <c r="B24" s="7" t="s">
        <v>100</v>
      </c>
      <c r="C24" s="7" t="s">
        <v>287</v>
      </c>
      <c r="D24" s="7" t="s">
        <v>296</v>
      </c>
      <c r="E24" s="7" t="s">
        <v>297</v>
      </c>
      <c r="F24" s="7" t="s">
        <v>298</v>
      </c>
      <c r="G24" s="7" t="s">
        <v>105</v>
      </c>
      <c r="H24" s="7" t="s">
        <v>106</v>
      </c>
      <c r="I24" s="7" t="s">
        <v>107</v>
      </c>
      <c r="J24" s="7" t="s">
        <v>108</v>
      </c>
      <c r="K24" s="7" t="s">
        <v>109</v>
      </c>
      <c r="L24" s="7" t="s">
        <v>320</v>
      </c>
      <c r="M24" s="7" t="s">
        <v>111</v>
      </c>
      <c r="N24" s="7" t="s">
        <v>113</v>
      </c>
      <c r="O24" s="7" t="s">
        <v>111</v>
      </c>
      <c r="P24" s="7" t="s">
        <v>111</v>
      </c>
      <c r="Q24" s="7" t="s">
        <v>111</v>
      </c>
      <c r="R24" s="7" t="s">
        <v>111</v>
      </c>
      <c r="S24" s="7" t="s">
        <v>113</v>
      </c>
      <c r="T24" s="7" t="s">
        <v>165</v>
      </c>
      <c r="U24" s="7" t="s">
        <v>321</v>
      </c>
      <c r="V24" s="7" t="s">
        <v>322</v>
      </c>
      <c r="W24" s="7" t="s">
        <v>323</v>
      </c>
      <c r="X24" s="7" t="s">
        <v>324</v>
      </c>
      <c r="Y24" s="7" t="s">
        <v>118</v>
      </c>
      <c r="Z24" s="7" t="s">
        <v>325</v>
      </c>
      <c r="AA24" s="16">
        <v>46293</v>
      </c>
      <c r="AB24" s="7" t="s">
        <v>299</v>
      </c>
      <c r="AC24" s="7" t="s">
        <v>98</v>
      </c>
      <c r="AD24" s="7"/>
      <c r="AE24" s="7" t="s">
        <v>120</v>
      </c>
      <c r="AF24" s="9">
        <v>4</v>
      </c>
      <c r="AG24" s="9">
        <v>3</v>
      </c>
      <c r="AH24" s="9">
        <v>7</v>
      </c>
      <c r="AI24" s="9">
        <v>8</v>
      </c>
      <c r="AJ24" s="9">
        <v>8</v>
      </c>
      <c r="AK24" s="7" t="s">
        <v>326</v>
      </c>
      <c r="AL24" s="10">
        <f>IF(OR(A24="",COUNT(AF24:AJ24)&lt;5),"",ROUND(SUMPRODUCT(AF24:AJ24,Guia!$B$7:$F$7),1))</f>
        <v>5.4</v>
      </c>
      <c r="AM24" s="10"/>
      <c r="AN24" s="10"/>
      <c r="AO24" s="7" t="s">
        <v>122</v>
      </c>
      <c r="AP24" s="7" t="s">
        <v>97</v>
      </c>
      <c r="AQ24" s="7" t="s">
        <v>97</v>
      </c>
      <c r="AR24" s="7" t="s">
        <v>97</v>
      </c>
      <c r="AS24" s="7" t="s">
        <v>97</v>
      </c>
      <c r="AT24" s="7" t="s">
        <v>97</v>
      </c>
      <c r="AU24" s="7" t="s">
        <v>97</v>
      </c>
    </row>
    <row r="25" spans="1:47" ht="32" customHeight="1">
      <c r="A25" s="7" t="s">
        <v>300</v>
      </c>
      <c r="B25" s="7" t="s">
        <v>100</v>
      </c>
      <c r="C25" s="7" t="s">
        <v>287</v>
      </c>
      <c r="D25" s="7" t="s">
        <v>301</v>
      </c>
      <c r="E25" s="7" t="s">
        <v>125</v>
      </c>
      <c r="F25" s="7" t="s">
        <v>302</v>
      </c>
      <c r="G25" s="7" t="s">
        <v>105</v>
      </c>
      <c r="H25" s="7" t="s">
        <v>106</v>
      </c>
      <c r="I25" s="7" t="s">
        <v>107</v>
      </c>
      <c r="J25" s="7" t="s">
        <v>108</v>
      </c>
      <c r="K25" s="7" t="s">
        <v>109</v>
      </c>
      <c r="L25" s="7" t="s">
        <v>327</v>
      </c>
      <c r="M25" s="7" t="s">
        <v>111</v>
      </c>
      <c r="N25" s="7" t="s">
        <v>113</v>
      </c>
      <c r="O25" s="7" t="s">
        <v>111</v>
      </c>
      <c r="P25" s="7" t="s">
        <v>113</v>
      </c>
      <c r="Q25" s="7" t="s">
        <v>111</v>
      </c>
      <c r="R25" s="7" t="s">
        <v>111</v>
      </c>
      <c r="S25" s="7" t="s">
        <v>113</v>
      </c>
      <c r="T25" s="7" t="s">
        <v>122</v>
      </c>
      <c r="U25" s="7" t="s">
        <v>328</v>
      </c>
      <c r="V25" s="7" t="s">
        <v>329</v>
      </c>
      <c r="W25" s="7" t="s">
        <v>666</v>
      </c>
      <c r="X25" s="7" t="s">
        <v>667</v>
      </c>
      <c r="Y25" s="7" t="s">
        <v>118</v>
      </c>
      <c r="Z25" s="7" t="s">
        <v>327</v>
      </c>
      <c r="AA25" s="16">
        <v>46293</v>
      </c>
      <c r="AB25" s="7" t="s">
        <v>303</v>
      </c>
      <c r="AC25" s="7" t="s">
        <v>98</v>
      </c>
      <c r="AD25" s="7"/>
      <c r="AE25" s="7" t="s">
        <v>120</v>
      </c>
      <c r="AF25" s="9">
        <v>8</v>
      </c>
      <c r="AG25" s="9">
        <v>7</v>
      </c>
      <c r="AH25" s="9">
        <v>7</v>
      </c>
      <c r="AI25" s="9">
        <v>7</v>
      </c>
      <c r="AJ25" s="9">
        <v>6</v>
      </c>
      <c r="AK25" s="7" t="s">
        <v>668</v>
      </c>
      <c r="AL25" s="10">
        <f>IF(OR(A25="",COUNT(AF25:AJ25)&lt;5),"",ROUND(SUMPRODUCT(AF25:AJ25,Guia!$B$7:$F$7),1))</f>
        <v>7.2</v>
      </c>
      <c r="AM25" s="10"/>
      <c r="AN25" s="10"/>
      <c r="AO25" s="7" t="s">
        <v>122</v>
      </c>
      <c r="AP25" s="7" t="s">
        <v>97</v>
      </c>
      <c r="AQ25" s="7" t="s">
        <v>97</v>
      </c>
      <c r="AR25" s="7" t="s">
        <v>97</v>
      </c>
      <c r="AS25" s="7" t="s">
        <v>97</v>
      </c>
      <c r="AT25" s="7" t="s">
        <v>97</v>
      </c>
      <c r="AU25" s="7" t="s">
        <v>97</v>
      </c>
    </row>
    <row r="26" spans="1:47" ht="32" customHeight="1">
      <c r="A26" s="7" t="s">
        <v>304</v>
      </c>
      <c r="B26" s="7" t="s">
        <v>100</v>
      </c>
      <c r="C26" s="7" t="s">
        <v>287</v>
      </c>
      <c r="D26" s="7" t="s">
        <v>305</v>
      </c>
      <c r="E26" s="7" t="s">
        <v>103</v>
      </c>
      <c r="F26" s="7" t="s">
        <v>306</v>
      </c>
      <c r="G26" s="7" t="s">
        <v>105</v>
      </c>
      <c r="H26" s="7" t="s">
        <v>106</v>
      </c>
      <c r="I26" s="7" t="s">
        <v>107</v>
      </c>
      <c r="J26" s="7" t="s">
        <v>108</v>
      </c>
      <c r="K26" s="7" t="s">
        <v>109</v>
      </c>
      <c r="L26" s="7" t="s">
        <v>330</v>
      </c>
      <c r="M26" s="7" t="s">
        <v>122</v>
      </c>
      <c r="N26" s="7" t="s">
        <v>111</v>
      </c>
      <c r="O26" s="7" t="s">
        <v>113</v>
      </c>
      <c r="P26" s="7" t="s">
        <v>113</v>
      </c>
      <c r="Q26" s="7" t="s">
        <v>111</v>
      </c>
      <c r="R26" s="7" t="s">
        <v>122</v>
      </c>
      <c r="S26" s="7" t="s">
        <v>113</v>
      </c>
      <c r="T26" s="7" t="s">
        <v>165</v>
      </c>
      <c r="U26" s="7" t="s">
        <v>331</v>
      </c>
      <c r="V26" s="7" t="s">
        <v>332</v>
      </c>
      <c r="W26" s="7" t="s">
        <v>333</v>
      </c>
      <c r="X26" s="7" t="s">
        <v>334</v>
      </c>
      <c r="Y26" s="7" t="s">
        <v>118</v>
      </c>
      <c r="Z26" s="7" t="s">
        <v>335</v>
      </c>
      <c r="AA26" s="16">
        <v>46293</v>
      </c>
      <c r="AB26" s="7" t="s">
        <v>307</v>
      </c>
      <c r="AC26" s="7" t="s">
        <v>98</v>
      </c>
      <c r="AD26" s="7"/>
      <c r="AE26" s="7" t="s">
        <v>120</v>
      </c>
      <c r="AF26" s="9">
        <v>5</v>
      </c>
      <c r="AG26" s="9">
        <v>4</v>
      </c>
      <c r="AH26" s="9">
        <v>7</v>
      </c>
      <c r="AI26" s="9">
        <v>7</v>
      </c>
      <c r="AJ26" s="9">
        <v>7</v>
      </c>
      <c r="AK26" s="7" t="s">
        <v>336</v>
      </c>
      <c r="AL26" s="10">
        <f>IF(OR(A26="",COUNT(AF26:AJ26)&lt;5),"",ROUND(SUMPRODUCT(AF26:AJ26,Guia!$B$7:$F$7),1))</f>
        <v>5.6</v>
      </c>
      <c r="AM26" s="10"/>
      <c r="AN26" s="10"/>
      <c r="AO26" s="7" t="s">
        <v>122</v>
      </c>
      <c r="AP26" s="7" t="s">
        <v>97</v>
      </c>
      <c r="AQ26" s="7" t="s">
        <v>97</v>
      </c>
      <c r="AR26" s="7" t="s">
        <v>97</v>
      </c>
      <c r="AS26" s="7" t="s">
        <v>97</v>
      </c>
      <c r="AT26" s="7" t="s">
        <v>97</v>
      </c>
      <c r="AU26" s="7" t="s">
        <v>97</v>
      </c>
    </row>
    <row r="27" spans="1:47" ht="32" customHeight="1">
      <c r="A27" s="7" t="s">
        <v>337</v>
      </c>
      <c r="B27" s="7" t="s">
        <v>100</v>
      </c>
      <c r="C27" s="7" t="s">
        <v>338</v>
      </c>
      <c r="D27" s="7" t="s">
        <v>339</v>
      </c>
      <c r="E27" s="7" t="s">
        <v>125</v>
      </c>
      <c r="F27" s="7" t="s">
        <v>340</v>
      </c>
      <c r="G27" s="7" t="s">
        <v>105</v>
      </c>
      <c r="H27" s="7" t="s">
        <v>106</v>
      </c>
      <c r="I27" s="7" t="s">
        <v>107</v>
      </c>
      <c r="J27" s="7" t="s">
        <v>108</v>
      </c>
      <c r="K27" s="7" t="s">
        <v>109</v>
      </c>
      <c r="L27" s="7" t="s">
        <v>591</v>
      </c>
      <c r="M27" s="7" t="s">
        <v>122</v>
      </c>
      <c r="N27" s="7" t="s">
        <v>113</v>
      </c>
      <c r="O27" s="7" t="s">
        <v>112</v>
      </c>
      <c r="P27" s="7" t="s">
        <v>113</v>
      </c>
      <c r="Q27" s="7" t="s">
        <v>111</v>
      </c>
      <c r="R27" s="7" t="s">
        <v>111</v>
      </c>
      <c r="S27" s="7" t="s">
        <v>113</v>
      </c>
      <c r="T27" s="7" t="s">
        <v>122</v>
      </c>
      <c r="U27" s="7" t="s">
        <v>358</v>
      </c>
      <c r="V27" s="7" t="s">
        <v>592</v>
      </c>
      <c r="W27" s="7" t="s">
        <v>593</v>
      </c>
      <c r="X27" s="7" t="s">
        <v>140</v>
      </c>
      <c r="Y27" s="7" t="s">
        <v>150</v>
      </c>
      <c r="Z27" s="7" t="s">
        <v>359</v>
      </c>
      <c r="AA27" s="16">
        <v>46293</v>
      </c>
      <c r="AB27" s="7" t="s">
        <v>341</v>
      </c>
      <c r="AC27" s="7" t="s">
        <v>98</v>
      </c>
      <c r="AD27" s="7"/>
      <c r="AE27" s="7" t="s">
        <v>120</v>
      </c>
      <c r="AF27" s="9">
        <v>3</v>
      </c>
      <c r="AG27" s="9">
        <v>3</v>
      </c>
      <c r="AH27" s="9">
        <v>8</v>
      </c>
      <c r="AI27" s="9">
        <v>7</v>
      </c>
      <c r="AJ27" s="9">
        <v>8</v>
      </c>
      <c r="AK27" s="7" t="s">
        <v>594</v>
      </c>
      <c r="AL27" s="10">
        <f>IF(OR(A27="",COUNT(AF27:AJ27)&lt;5),"",ROUND(SUMPRODUCT(AF27:AJ27,Guia!$B$7:$F$7),1))</f>
        <v>5.0999999999999996</v>
      </c>
      <c r="AM27" s="10"/>
      <c r="AN27" s="10"/>
      <c r="AO27" s="7" t="s">
        <v>122</v>
      </c>
      <c r="AP27" s="7" t="s">
        <v>97</v>
      </c>
      <c r="AQ27" s="7" t="s">
        <v>97</v>
      </c>
      <c r="AR27" s="7" t="s">
        <v>97</v>
      </c>
      <c r="AS27" s="7" t="s">
        <v>97</v>
      </c>
      <c r="AT27" s="7" t="s">
        <v>97</v>
      </c>
      <c r="AU27" s="7" t="s">
        <v>97</v>
      </c>
    </row>
    <row r="28" spans="1:47" ht="32" customHeight="1">
      <c r="A28" s="7" t="s">
        <v>342</v>
      </c>
      <c r="B28" s="7" t="s">
        <v>100</v>
      </c>
      <c r="C28" s="7" t="s">
        <v>338</v>
      </c>
      <c r="D28" s="7" t="s">
        <v>343</v>
      </c>
      <c r="E28" s="7" t="s">
        <v>125</v>
      </c>
      <c r="F28" s="7" t="s">
        <v>344</v>
      </c>
      <c r="G28" s="7" t="s">
        <v>105</v>
      </c>
      <c r="H28" s="7" t="s">
        <v>106</v>
      </c>
      <c r="I28" s="7" t="s">
        <v>107</v>
      </c>
      <c r="J28" s="7" t="s">
        <v>156</v>
      </c>
      <c r="K28" s="7" t="s">
        <v>157</v>
      </c>
      <c r="L28" s="7"/>
      <c r="M28" s="7" t="s">
        <v>111</v>
      </c>
      <c r="N28" s="7" t="s">
        <v>112</v>
      </c>
      <c r="O28" s="7" t="s">
        <v>111</v>
      </c>
      <c r="P28" s="7" t="s">
        <v>113</v>
      </c>
      <c r="Q28" s="7" t="s">
        <v>111</v>
      </c>
      <c r="R28" s="7" t="s">
        <v>111</v>
      </c>
      <c r="S28" s="7" t="s">
        <v>113</v>
      </c>
      <c r="T28" s="7" t="s">
        <v>122</v>
      </c>
      <c r="U28" s="7" t="s">
        <v>360</v>
      </c>
      <c r="V28" s="7" t="s">
        <v>361</v>
      </c>
      <c r="W28" s="7" t="s">
        <v>362</v>
      </c>
      <c r="X28" s="7" t="s">
        <v>363</v>
      </c>
      <c r="Y28" s="7" t="s">
        <v>162</v>
      </c>
      <c r="Z28" s="7" t="s">
        <v>364</v>
      </c>
      <c r="AA28" s="16">
        <v>46293</v>
      </c>
      <c r="AB28" s="7" t="s">
        <v>345</v>
      </c>
      <c r="AC28" s="7" t="s">
        <v>257</v>
      </c>
      <c r="AD28" s="7" t="s">
        <v>431</v>
      </c>
      <c r="AE28" s="7" t="s">
        <v>259</v>
      </c>
      <c r="AF28" s="9">
        <v>7</v>
      </c>
      <c r="AG28" s="9">
        <v>8</v>
      </c>
      <c r="AH28" s="9">
        <v>7</v>
      </c>
      <c r="AI28" s="9">
        <v>8</v>
      </c>
      <c r="AJ28" s="9">
        <v>7</v>
      </c>
      <c r="AK28" s="7" t="s">
        <v>601</v>
      </c>
      <c r="AL28" s="10">
        <f>IF(OR(A28="",COUNT(AF28:AJ28)&lt;5),"",ROUND(SUMPRODUCT(AF28:AJ28,Guia!$B$7:$F$7),1))</f>
        <v>7.5</v>
      </c>
      <c r="AM28" s="10"/>
      <c r="AN28" s="10"/>
      <c r="AO28" s="7" t="s">
        <v>122</v>
      </c>
      <c r="AP28" s="7" t="s">
        <v>122</v>
      </c>
      <c r="AQ28" s="7" t="s">
        <v>122</v>
      </c>
      <c r="AR28" s="7" t="s">
        <v>122</v>
      </c>
      <c r="AS28" s="7" t="s">
        <v>97</v>
      </c>
      <c r="AT28" s="7" t="s">
        <v>97</v>
      </c>
      <c r="AU28" s="7" t="s">
        <v>97</v>
      </c>
    </row>
    <row r="29" spans="1:47" ht="32" customHeight="1">
      <c r="A29" s="7" t="s">
        <v>346</v>
      </c>
      <c r="B29" s="7" t="s">
        <v>100</v>
      </c>
      <c r="C29" s="7" t="s">
        <v>338</v>
      </c>
      <c r="D29" s="7" t="s">
        <v>347</v>
      </c>
      <c r="E29" s="7" t="s">
        <v>125</v>
      </c>
      <c r="F29" s="7" t="s">
        <v>348</v>
      </c>
      <c r="G29" s="7" t="s">
        <v>105</v>
      </c>
      <c r="H29" s="7" t="s">
        <v>106</v>
      </c>
      <c r="I29" s="7" t="s">
        <v>107</v>
      </c>
      <c r="J29" s="7" t="s">
        <v>108</v>
      </c>
      <c r="K29" s="7" t="s">
        <v>109</v>
      </c>
      <c r="L29" s="7" t="s">
        <v>365</v>
      </c>
      <c r="M29" s="7" t="s">
        <v>111</v>
      </c>
      <c r="N29" s="7" t="s">
        <v>111</v>
      </c>
      <c r="O29" s="7" t="s">
        <v>112</v>
      </c>
      <c r="P29" s="7" t="s">
        <v>111</v>
      </c>
      <c r="Q29" s="7" t="s">
        <v>111</v>
      </c>
      <c r="R29" s="7" t="s">
        <v>112</v>
      </c>
      <c r="S29" s="7" t="s">
        <v>113</v>
      </c>
      <c r="T29" s="7" t="s">
        <v>122</v>
      </c>
      <c r="U29" s="7" t="s">
        <v>366</v>
      </c>
      <c r="V29" s="7" t="s">
        <v>367</v>
      </c>
      <c r="W29" s="7" t="s">
        <v>368</v>
      </c>
      <c r="X29" s="7" t="s">
        <v>369</v>
      </c>
      <c r="Y29" s="7" t="s">
        <v>118</v>
      </c>
      <c r="Z29" s="7" t="s">
        <v>370</v>
      </c>
      <c r="AA29" s="16">
        <v>46293</v>
      </c>
      <c r="AB29" s="7" t="s">
        <v>349</v>
      </c>
      <c r="AC29" s="7" t="s">
        <v>98</v>
      </c>
      <c r="AD29" s="7"/>
      <c r="AE29" s="7" t="s">
        <v>120</v>
      </c>
      <c r="AF29" s="9">
        <v>5</v>
      </c>
      <c r="AG29" s="9">
        <v>4</v>
      </c>
      <c r="AH29" s="9">
        <v>8</v>
      </c>
      <c r="AI29" s="9">
        <v>6</v>
      </c>
      <c r="AJ29" s="9">
        <v>8</v>
      </c>
      <c r="AK29" s="7" t="s">
        <v>371</v>
      </c>
      <c r="AL29" s="10">
        <f>IF(OR(A29="",COUNT(AF29:AJ29)&lt;5),"",ROUND(SUMPRODUCT(AF29:AJ29,Guia!$B$7:$F$7),1))</f>
        <v>5.7</v>
      </c>
      <c r="AM29" s="10"/>
      <c r="AN29" s="10"/>
      <c r="AO29" s="7" t="s">
        <v>122</v>
      </c>
      <c r="AP29" s="7" t="s">
        <v>97</v>
      </c>
      <c r="AQ29" s="7" t="s">
        <v>97</v>
      </c>
      <c r="AR29" s="7" t="s">
        <v>97</v>
      </c>
      <c r="AS29" s="7" t="s">
        <v>97</v>
      </c>
      <c r="AT29" s="7" t="s">
        <v>97</v>
      </c>
      <c r="AU29" s="7" t="s">
        <v>97</v>
      </c>
    </row>
    <row r="30" spans="1:47" ht="32" customHeight="1">
      <c r="A30" s="7" t="s">
        <v>350</v>
      </c>
      <c r="B30" s="7" t="s">
        <v>100</v>
      </c>
      <c r="C30" s="7" t="s">
        <v>338</v>
      </c>
      <c r="D30" s="7" t="s">
        <v>351</v>
      </c>
      <c r="E30" s="7" t="s">
        <v>103</v>
      </c>
      <c r="F30" s="7" t="s">
        <v>352</v>
      </c>
      <c r="G30" s="7" t="s">
        <v>105</v>
      </c>
      <c r="H30" s="7" t="s">
        <v>106</v>
      </c>
      <c r="I30" s="7" t="s">
        <v>107</v>
      </c>
      <c r="J30" s="7" t="s">
        <v>108</v>
      </c>
      <c r="K30" s="7" t="s">
        <v>109</v>
      </c>
      <c r="L30" s="7" t="s">
        <v>372</v>
      </c>
      <c r="M30" s="7" t="s">
        <v>111</v>
      </c>
      <c r="N30" s="7" t="s">
        <v>112</v>
      </c>
      <c r="O30" s="7" t="s">
        <v>111</v>
      </c>
      <c r="P30" s="7" t="s">
        <v>113</v>
      </c>
      <c r="Q30" s="7" t="s">
        <v>111</v>
      </c>
      <c r="R30" s="7" t="s">
        <v>111</v>
      </c>
      <c r="S30" s="7" t="s">
        <v>113</v>
      </c>
      <c r="T30" s="7" t="s">
        <v>122</v>
      </c>
      <c r="U30" s="7" t="s">
        <v>373</v>
      </c>
      <c r="V30" s="7" t="s">
        <v>374</v>
      </c>
      <c r="W30" s="7" t="s">
        <v>375</v>
      </c>
      <c r="X30" s="7" t="s">
        <v>376</v>
      </c>
      <c r="Y30" s="7" t="s">
        <v>118</v>
      </c>
      <c r="Z30" s="7" t="s">
        <v>377</v>
      </c>
      <c r="AA30" s="16">
        <v>46293</v>
      </c>
      <c r="AB30" s="7" t="s">
        <v>353</v>
      </c>
      <c r="AC30" s="7" t="s">
        <v>98</v>
      </c>
      <c r="AD30" s="7"/>
      <c r="AE30" s="7" t="s">
        <v>120</v>
      </c>
      <c r="AF30" s="9">
        <v>6</v>
      </c>
      <c r="AG30" s="9">
        <v>5</v>
      </c>
      <c r="AH30" s="9">
        <v>7</v>
      </c>
      <c r="AI30" s="9">
        <v>6</v>
      </c>
      <c r="AJ30" s="9">
        <v>8</v>
      </c>
      <c r="AK30" s="7" t="s">
        <v>378</v>
      </c>
      <c r="AL30" s="10">
        <f>IF(OR(A30="",COUNT(AF30:AJ30)&lt;5),"",ROUND(SUMPRODUCT(AF30:AJ30,Guia!$B$7:$F$7),1))</f>
        <v>6.1</v>
      </c>
      <c r="AM30" s="10"/>
      <c r="AN30" s="10"/>
      <c r="AO30" s="7" t="s">
        <v>122</v>
      </c>
      <c r="AP30" s="7" t="s">
        <v>97</v>
      </c>
      <c r="AQ30" s="7" t="s">
        <v>97</v>
      </c>
      <c r="AR30" s="7" t="s">
        <v>97</v>
      </c>
      <c r="AS30" s="7" t="s">
        <v>97</v>
      </c>
      <c r="AT30" s="7" t="s">
        <v>97</v>
      </c>
      <c r="AU30" s="7" t="s">
        <v>97</v>
      </c>
    </row>
    <row r="31" spans="1:47" ht="32" customHeight="1">
      <c r="A31" s="7" t="s">
        <v>354</v>
      </c>
      <c r="B31" s="7" t="s">
        <v>100</v>
      </c>
      <c r="C31" s="7" t="s">
        <v>338</v>
      </c>
      <c r="D31" s="7" t="s">
        <v>355</v>
      </c>
      <c r="E31" s="7" t="s">
        <v>125</v>
      </c>
      <c r="F31" s="7" t="s">
        <v>356</v>
      </c>
      <c r="G31" s="7" t="s">
        <v>105</v>
      </c>
      <c r="H31" s="7" t="s">
        <v>106</v>
      </c>
      <c r="I31" s="7" t="s">
        <v>107</v>
      </c>
      <c r="J31" s="7" t="s">
        <v>156</v>
      </c>
      <c r="K31" s="7" t="s">
        <v>157</v>
      </c>
      <c r="L31" s="7"/>
      <c r="M31" s="7" t="s">
        <v>111</v>
      </c>
      <c r="N31" s="7" t="s">
        <v>113</v>
      </c>
      <c r="O31" s="7" t="s">
        <v>111</v>
      </c>
      <c r="P31" s="7" t="s">
        <v>113</v>
      </c>
      <c r="Q31" s="7" t="s">
        <v>111</v>
      </c>
      <c r="R31" s="7" t="s">
        <v>111</v>
      </c>
      <c r="S31" s="7" t="s">
        <v>113</v>
      </c>
      <c r="T31" s="7" t="s">
        <v>122</v>
      </c>
      <c r="U31" s="7" t="s">
        <v>379</v>
      </c>
      <c r="V31" s="7" t="s">
        <v>380</v>
      </c>
      <c r="W31" s="7" t="s">
        <v>381</v>
      </c>
      <c r="X31" s="7" t="s">
        <v>382</v>
      </c>
      <c r="Y31" s="7" t="s">
        <v>162</v>
      </c>
      <c r="Z31" s="7" t="s">
        <v>383</v>
      </c>
      <c r="AA31" s="16">
        <v>46293</v>
      </c>
      <c r="AB31" s="7" t="s">
        <v>357</v>
      </c>
      <c r="AC31" s="7" t="s">
        <v>98</v>
      </c>
      <c r="AD31" s="7"/>
      <c r="AE31" s="7" t="s">
        <v>120</v>
      </c>
      <c r="AF31" s="9">
        <v>7</v>
      </c>
      <c r="AG31" s="9">
        <v>7</v>
      </c>
      <c r="AH31" s="9">
        <v>7</v>
      </c>
      <c r="AI31" s="9">
        <v>7</v>
      </c>
      <c r="AJ31" s="9">
        <v>7</v>
      </c>
      <c r="AK31" s="7" t="s">
        <v>602</v>
      </c>
      <c r="AL31" s="10">
        <f>IF(OR(A31="",COUNT(AF31:AJ31)&lt;5),"",ROUND(SUMPRODUCT(AF31:AJ31,Guia!$B$7:$F$7),1))</f>
        <v>7</v>
      </c>
      <c r="AM31" s="10"/>
      <c r="AN31" s="10"/>
      <c r="AO31" s="7" t="s">
        <v>122</v>
      </c>
      <c r="AP31" s="7" t="s">
        <v>97</v>
      </c>
      <c r="AQ31" s="7" t="s">
        <v>97</v>
      </c>
      <c r="AR31" s="7" t="s">
        <v>97</v>
      </c>
      <c r="AS31" s="7" t="s">
        <v>97</v>
      </c>
      <c r="AT31" s="7" t="s">
        <v>97</v>
      </c>
      <c r="AU31" s="7" t="s">
        <v>97</v>
      </c>
    </row>
    <row r="32" spans="1:47" ht="32" customHeight="1">
      <c r="A32" s="7" t="s">
        <v>384</v>
      </c>
      <c r="B32" s="7" t="s">
        <v>100</v>
      </c>
      <c r="C32" s="7" t="s">
        <v>385</v>
      </c>
      <c r="D32" s="7" t="s">
        <v>386</v>
      </c>
      <c r="E32" s="7" t="s">
        <v>125</v>
      </c>
      <c r="F32" s="7" t="s">
        <v>104</v>
      </c>
      <c r="G32" s="7" t="s">
        <v>105</v>
      </c>
      <c r="H32" s="7" t="s">
        <v>106</v>
      </c>
      <c r="I32" s="7" t="s">
        <v>107</v>
      </c>
      <c r="J32" s="7" t="s">
        <v>156</v>
      </c>
      <c r="K32" s="7" t="s">
        <v>236</v>
      </c>
      <c r="L32" s="7"/>
      <c r="M32" s="7" t="s">
        <v>111</v>
      </c>
      <c r="N32" s="7" t="s">
        <v>111</v>
      </c>
      <c r="O32" s="7" t="s">
        <v>111</v>
      </c>
      <c r="P32" s="7" t="s">
        <v>113</v>
      </c>
      <c r="Q32" s="7" t="s">
        <v>111</v>
      </c>
      <c r="R32" s="7" t="s">
        <v>111</v>
      </c>
      <c r="S32" s="7" t="s">
        <v>113</v>
      </c>
      <c r="T32" s="7" t="s">
        <v>122</v>
      </c>
      <c r="U32" s="7" t="s">
        <v>404</v>
      </c>
      <c r="V32" s="7" t="s">
        <v>405</v>
      </c>
      <c r="W32" s="7" t="s">
        <v>406</v>
      </c>
      <c r="X32" s="7" t="s">
        <v>407</v>
      </c>
      <c r="Y32" s="7" t="s">
        <v>118</v>
      </c>
      <c r="Z32" s="7" t="s">
        <v>408</v>
      </c>
      <c r="AA32" s="16">
        <v>46293</v>
      </c>
      <c r="AB32" s="7" t="s">
        <v>387</v>
      </c>
      <c r="AC32" s="7" t="s">
        <v>98</v>
      </c>
      <c r="AD32" s="7"/>
      <c r="AE32" s="7" t="s">
        <v>120</v>
      </c>
      <c r="AF32" s="9">
        <v>7</v>
      </c>
      <c r="AG32" s="9">
        <v>8</v>
      </c>
      <c r="AH32" s="9">
        <v>7</v>
      </c>
      <c r="AI32" s="9">
        <v>8</v>
      </c>
      <c r="AJ32" s="9">
        <v>7</v>
      </c>
      <c r="AK32" s="7" t="s">
        <v>603</v>
      </c>
      <c r="AL32" s="10">
        <f>IF(OR(A32="",COUNT(AF32:AJ32)&lt;5),"",ROUND(SUMPRODUCT(AF32:AJ32,Guia!$B$7:$F$7),1))</f>
        <v>7.5</v>
      </c>
      <c r="AM32" s="10"/>
      <c r="AN32" s="10"/>
      <c r="AO32" s="7" t="s">
        <v>122</v>
      </c>
      <c r="AP32" s="7" t="s">
        <v>97</v>
      </c>
      <c r="AQ32" s="7" t="s">
        <v>97</v>
      </c>
      <c r="AR32" s="7" t="s">
        <v>97</v>
      </c>
      <c r="AS32" s="7" t="s">
        <v>97</v>
      </c>
      <c r="AT32" s="7" t="s">
        <v>97</v>
      </c>
      <c r="AU32" s="7" t="s">
        <v>97</v>
      </c>
    </row>
    <row r="33" spans="1:47" ht="32" customHeight="1">
      <c r="A33" s="7" t="s">
        <v>388</v>
      </c>
      <c r="B33" s="7" t="s">
        <v>100</v>
      </c>
      <c r="C33" s="7" t="s">
        <v>385</v>
      </c>
      <c r="D33" s="7" t="s">
        <v>389</v>
      </c>
      <c r="E33" s="7" t="s">
        <v>297</v>
      </c>
      <c r="F33" s="7" t="s">
        <v>390</v>
      </c>
      <c r="G33" s="7" t="s">
        <v>105</v>
      </c>
      <c r="H33" s="7" t="s">
        <v>106</v>
      </c>
      <c r="I33" s="7" t="s">
        <v>107</v>
      </c>
      <c r="J33" s="7" t="s">
        <v>108</v>
      </c>
      <c r="K33" s="7" t="s">
        <v>109</v>
      </c>
      <c r="L33" s="7" t="s">
        <v>409</v>
      </c>
      <c r="M33" s="7" t="s">
        <v>122</v>
      </c>
      <c r="N33" s="7" t="s">
        <v>111</v>
      </c>
      <c r="O33" s="7" t="s">
        <v>113</v>
      </c>
      <c r="P33" s="7" t="s">
        <v>111</v>
      </c>
      <c r="Q33" s="7" t="s">
        <v>111</v>
      </c>
      <c r="R33" s="7" t="s">
        <v>111</v>
      </c>
      <c r="S33" s="7" t="s">
        <v>113</v>
      </c>
      <c r="T33" s="7" t="s">
        <v>165</v>
      </c>
      <c r="U33" s="7" t="s">
        <v>410</v>
      </c>
      <c r="V33" s="7" t="s">
        <v>411</v>
      </c>
      <c r="W33" s="7" t="s">
        <v>412</v>
      </c>
      <c r="X33" s="7" t="s">
        <v>413</v>
      </c>
      <c r="Y33" s="7" t="s">
        <v>118</v>
      </c>
      <c r="Z33" s="7" t="s">
        <v>414</v>
      </c>
      <c r="AA33" s="16">
        <v>46293</v>
      </c>
      <c r="AB33" s="7" t="s">
        <v>391</v>
      </c>
      <c r="AC33" s="7" t="s">
        <v>98</v>
      </c>
      <c r="AD33" s="7"/>
      <c r="AE33" s="7" t="s">
        <v>120</v>
      </c>
      <c r="AF33" s="9">
        <v>4</v>
      </c>
      <c r="AG33" s="9">
        <v>3</v>
      </c>
      <c r="AH33" s="9">
        <v>8</v>
      </c>
      <c r="AI33" s="9">
        <v>6</v>
      </c>
      <c r="AJ33" s="9">
        <v>7</v>
      </c>
      <c r="AK33" s="7" t="s">
        <v>415</v>
      </c>
      <c r="AL33" s="10">
        <f>IF(OR(A33="",COUNT(AF33:AJ33)&lt;5),"",ROUND(SUMPRODUCT(AF33:AJ33,Guia!$B$7:$F$7),1))</f>
        <v>5</v>
      </c>
      <c r="AM33" s="10"/>
      <c r="AN33" s="10"/>
      <c r="AO33" s="7" t="s">
        <v>122</v>
      </c>
      <c r="AP33" s="7" t="s">
        <v>97</v>
      </c>
      <c r="AQ33" s="7" t="s">
        <v>97</v>
      </c>
      <c r="AR33" s="7" t="s">
        <v>97</v>
      </c>
      <c r="AS33" s="7" t="s">
        <v>97</v>
      </c>
      <c r="AT33" s="7" t="s">
        <v>97</v>
      </c>
      <c r="AU33" s="7" t="s">
        <v>97</v>
      </c>
    </row>
    <row r="34" spans="1:47" ht="32" customHeight="1">
      <c r="A34" s="7" t="s">
        <v>392</v>
      </c>
      <c r="B34" s="7" t="s">
        <v>100</v>
      </c>
      <c r="C34" s="7" t="s">
        <v>385</v>
      </c>
      <c r="D34" s="7" t="s">
        <v>393</v>
      </c>
      <c r="E34" s="7" t="s">
        <v>103</v>
      </c>
      <c r="F34" s="7" t="s">
        <v>394</v>
      </c>
      <c r="G34" s="7" t="s">
        <v>105</v>
      </c>
      <c r="H34" s="7" t="s">
        <v>106</v>
      </c>
      <c r="I34" s="7" t="s">
        <v>107</v>
      </c>
      <c r="J34" s="7" t="s">
        <v>108</v>
      </c>
      <c r="K34" s="7" t="s">
        <v>109</v>
      </c>
      <c r="L34" s="7" t="s">
        <v>416</v>
      </c>
      <c r="M34" s="7" t="s">
        <v>111</v>
      </c>
      <c r="N34" s="7" t="s">
        <v>112</v>
      </c>
      <c r="O34" s="7" t="s">
        <v>111</v>
      </c>
      <c r="P34" s="7" t="s">
        <v>113</v>
      </c>
      <c r="Q34" s="7" t="s">
        <v>111</v>
      </c>
      <c r="R34" s="7" t="s">
        <v>112</v>
      </c>
      <c r="S34" s="7" t="s">
        <v>113</v>
      </c>
      <c r="T34" s="7" t="s">
        <v>122</v>
      </c>
      <c r="U34" s="7" t="s">
        <v>417</v>
      </c>
      <c r="V34" s="7" t="s">
        <v>418</v>
      </c>
      <c r="W34" s="7" t="s">
        <v>419</v>
      </c>
      <c r="X34" s="7" t="s">
        <v>420</v>
      </c>
      <c r="Y34" s="7" t="s">
        <v>118</v>
      </c>
      <c r="Z34" s="7" t="s">
        <v>421</v>
      </c>
      <c r="AA34" s="16">
        <v>46293</v>
      </c>
      <c r="AB34" s="7" t="s">
        <v>395</v>
      </c>
      <c r="AC34" s="7" t="s">
        <v>98</v>
      </c>
      <c r="AD34" s="7"/>
      <c r="AE34" s="7" t="s">
        <v>120</v>
      </c>
      <c r="AF34" s="9">
        <v>5</v>
      </c>
      <c r="AG34" s="9">
        <v>4</v>
      </c>
      <c r="AH34" s="9">
        <v>8</v>
      </c>
      <c r="AI34" s="9">
        <v>5</v>
      </c>
      <c r="AJ34" s="9">
        <v>8</v>
      </c>
      <c r="AK34" s="7" t="s">
        <v>422</v>
      </c>
      <c r="AL34" s="10">
        <f>IF(OR(A34="",COUNT(AF34:AJ34)&lt;5),"",ROUND(SUMPRODUCT(AF34:AJ34,Guia!$B$7:$F$7),1))</f>
        <v>5.5</v>
      </c>
      <c r="AM34" s="10"/>
      <c r="AN34" s="10"/>
      <c r="AO34" s="7" t="s">
        <v>122</v>
      </c>
      <c r="AP34" s="7" t="s">
        <v>97</v>
      </c>
      <c r="AQ34" s="7" t="s">
        <v>97</v>
      </c>
      <c r="AR34" s="7" t="s">
        <v>97</v>
      </c>
      <c r="AS34" s="7" t="s">
        <v>97</v>
      </c>
      <c r="AT34" s="7" t="s">
        <v>97</v>
      </c>
      <c r="AU34" s="7" t="s">
        <v>97</v>
      </c>
    </row>
    <row r="35" spans="1:47" ht="32" customHeight="1">
      <c r="A35" s="7" t="s">
        <v>396</v>
      </c>
      <c r="B35" s="7" t="s">
        <v>100</v>
      </c>
      <c r="C35" s="7" t="s">
        <v>385</v>
      </c>
      <c r="D35" s="7" t="s">
        <v>397</v>
      </c>
      <c r="E35" s="7" t="s">
        <v>125</v>
      </c>
      <c r="F35" s="7" t="s">
        <v>398</v>
      </c>
      <c r="G35" s="7" t="s">
        <v>105</v>
      </c>
      <c r="H35" s="7" t="s">
        <v>106</v>
      </c>
      <c r="I35" s="7" t="s">
        <v>107</v>
      </c>
      <c r="J35" s="7" t="s">
        <v>108</v>
      </c>
      <c r="K35" s="7" t="s">
        <v>236</v>
      </c>
      <c r="L35" s="7" t="s">
        <v>423</v>
      </c>
      <c r="M35" s="7" t="s">
        <v>111</v>
      </c>
      <c r="N35" s="7" t="s">
        <v>112</v>
      </c>
      <c r="O35" s="7" t="s">
        <v>112</v>
      </c>
      <c r="P35" s="7" t="s">
        <v>113</v>
      </c>
      <c r="Q35" s="7" t="s">
        <v>111</v>
      </c>
      <c r="R35" s="7" t="s">
        <v>111</v>
      </c>
      <c r="S35" s="7" t="s">
        <v>113</v>
      </c>
      <c r="T35" s="7" t="s">
        <v>122</v>
      </c>
      <c r="U35" s="7" t="s">
        <v>424</v>
      </c>
      <c r="V35" s="7" t="s">
        <v>425</v>
      </c>
      <c r="W35" s="7" t="s">
        <v>426</v>
      </c>
      <c r="X35" s="7" t="s">
        <v>427</v>
      </c>
      <c r="Y35" s="7" t="s">
        <v>118</v>
      </c>
      <c r="Z35" s="7" t="s">
        <v>428</v>
      </c>
      <c r="AA35" s="16">
        <v>46293</v>
      </c>
      <c r="AB35" s="7" t="s">
        <v>399</v>
      </c>
      <c r="AC35" s="7" t="s">
        <v>98</v>
      </c>
      <c r="AD35" s="7"/>
      <c r="AE35" s="7" t="s">
        <v>120</v>
      </c>
      <c r="AF35" s="9">
        <v>6</v>
      </c>
      <c r="AG35" s="9">
        <v>5</v>
      </c>
      <c r="AH35" s="9">
        <v>6</v>
      </c>
      <c r="AI35" s="9">
        <v>7</v>
      </c>
      <c r="AJ35" s="9">
        <v>7</v>
      </c>
      <c r="AK35" s="7" t="s">
        <v>429</v>
      </c>
      <c r="AL35" s="10">
        <f>IF(OR(A35="",COUNT(AF35:AJ35)&lt;5),"",ROUND(SUMPRODUCT(AF35:AJ35,Guia!$B$7:$F$7),1))</f>
        <v>6</v>
      </c>
      <c r="AM35" s="10"/>
      <c r="AN35" s="10"/>
      <c r="AO35" s="7" t="s">
        <v>122</v>
      </c>
      <c r="AP35" s="7" t="s">
        <v>97</v>
      </c>
      <c r="AQ35" s="7" t="s">
        <v>97</v>
      </c>
      <c r="AR35" s="7" t="s">
        <v>97</v>
      </c>
      <c r="AS35" s="7" t="s">
        <v>97</v>
      </c>
      <c r="AT35" s="7" t="s">
        <v>97</v>
      </c>
      <c r="AU35" s="7" t="s">
        <v>97</v>
      </c>
    </row>
    <row r="36" spans="1:47" ht="32" customHeight="1">
      <c r="A36" s="7" t="s">
        <v>400</v>
      </c>
      <c r="B36" s="7" t="s">
        <v>100</v>
      </c>
      <c r="C36" s="7" t="s">
        <v>385</v>
      </c>
      <c r="D36" s="7" t="s">
        <v>401</v>
      </c>
      <c r="E36" s="7" t="s">
        <v>125</v>
      </c>
      <c r="F36" s="7" t="s">
        <v>402</v>
      </c>
      <c r="G36" s="7" t="s">
        <v>105</v>
      </c>
      <c r="H36" s="7" t="s">
        <v>106</v>
      </c>
      <c r="I36" s="7" t="s">
        <v>107</v>
      </c>
      <c r="J36" s="7" t="s">
        <v>156</v>
      </c>
      <c r="K36" s="7" t="s">
        <v>157</v>
      </c>
      <c r="L36" s="7"/>
      <c r="M36" s="7" t="s">
        <v>111</v>
      </c>
      <c r="N36" s="7" t="s">
        <v>113</v>
      </c>
      <c r="O36" s="7" t="s">
        <v>111</v>
      </c>
      <c r="P36" s="7" t="s">
        <v>113</v>
      </c>
      <c r="Q36" s="7" t="s">
        <v>111</v>
      </c>
      <c r="R36" s="7" t="s">
        <v>111</v>
      </c>
      <c r="S36" s="7" t="s">
        <v>113</v>
      </c>
      <c r="T36" s="7" t="s">
        <v>165</v>
      </c>
      <c r="U36" s="7" t="s">
        <v>533</v>
      </c>
      <c r="V36" s="7" t="s">
        <v>535</v>
      </c>
      <c r="W36" s="7" t="s">
        <v>536</v>
      </c>
      <c r="X36" s="7" t="s">
        <v>430</v>
      </c>
      <c r="Y36" s="7" t="s">
        <v>162</v>
      </c>
      <c r="Z36" s="7" t="s">
        <v>534</v>
      </c>
      <c r="AA36" s="16">
        <v>46293</v>
      </c>
      <c r="AB36" s="7" t="s">
        <v>403</v>
      </c>
      <c r="AC36" s="7" t="s">
        <v>257</v>
      </c>
      <c r="AD36" s="7" t="s">
        <v>532</v>
      </c>
      <c r="AE36" s="7" t="s">
        <v>259</v>
      </c>
      <c r="AF36" s="9">
        <v>7</v>
      </c>
      <c r="AG36" s="9">
        <v>7</v>
      </c>
      <c r="AH36" s="9">
        <v>6</v>
      </c>
      <c r="AI36" s="9">
        <v>8</v>
      </c>
      <c r="AJ36" s="9">
        <v>6</v>
      </c>
      <c r="AK36" s="7" t="s">
        <v>537</v>
      </c>
      <c r="AL36" s="10">
        <f>IF(OR(A36="",COUNT(AF36:AJ36)&lt;5),"",ROUND(SUMPRODUCT(AF36:AJ36,Guia!$B$7:$F$7),1))</f>
        <v>7</v>
      </c>
      <c r="AM36" s="10"/>
      <c r="AN36" s="10"/>
      <c r="AO36" s="7" t="s">
        <v>122</v>
      </c>
      <c r="AP36" s="7" t="s">
        <v>122</v>
      </c>
      <c r="AQ36" s="7" t="s">
        <v>122</v>
      </c>
      <c r="AR36" s="7" t="s">
        <v>122</v>
      </c>
      <c r="AS36" s="7" t="s">
        <v>97</v>
      </c>
      <c r="AT36" s="7" t="s">
        <v>97</v>
      </c>
      <c r="AU36" s="7" t="s">
        <v>97</v>
      </c>
    </row>
    <row r="37" spans="1:47" ht="32" customHeight="1">
      <c r="A37" s="7" t="s">
        <v>432</v>
      </c>
      <c r="B37" s="7" t="s">
        <v>100</v>
      </c>
      <c r="C37" s="7" t="s">
        <v>433</v>
      </c>
      <c r="D37" s="7" t="s">
        <v>434</v>
      </c>
      <c r="E37" s="7" t="s">
        <v>125</v>
      </c>
      <c r="F37" s="7" t="s">
        <v>435</v>
      </c>
      <c r="G37" s="7" t="s">
        <v>105</v>
      </c>
      <c r="H37" s="7" t="s">
        <v>106</v>
      </c>
      <c r="I37" s="7" t="s">
        <v>107</v>
      </c>
      <c r="J37" s="7" t="s">
        <v>156</v>
      </c>
      <c r="K37" s="7" t="s">
        <v>210</v>
      </c>
      <c r="L37" s="7"/>
      <c r="M37" s="7" t="s">
        <v>111</v>
      </c>
      <c r="N37" s="7" t="s">
        <v>113</v>
      </c>
      <c r="O37" s="7" t="s">
        <v>111</v>
      </c>
      <c r="P37" s="7" t="s">
        <v>113</v>
      </c>
      <c r="Q37" s="7" t="s">
        <v>111</v>
      </c>
      <c r="R37" s="7" t="s">
        <v>111</v>
      </c>
      <c r="S37" s="7" t="s">
        <v>113</v>
      </c>
      <c r="T37" s="7" t="s">
        <v>122</v>
      </c>
      <c r="U37" s="7" t="s">
        <v>454</v>
      </c>
      <c r="V37" s="7" t="s">
        <v>455</v>
      </c>
      <c r="W37" s="7" t="s">
        <v>456</v>
      </c>
      <c r="X37" s="7" t="s">
        <v>457</v>
      </c>
      <c r="Y37" s="7" t="s">
        <v>118</v>
      </c>
      <c r="Z37" s="7" t="s">
        <v>458</v>
      </c>
      <c r="AA37" s="16">
        <v>46293</v>
      </c>
      <c r="AB37" s="7" t="s">
        <v>436</v>
      </c>
      <c r="AC37" s="7" t="s">
        <v>98</v>
      </c>
      <c r="AD37" s="7"/>
      <c r="AE37" s="7" t="s">
        <v>120</v>
      </c>
      <c r="AF37" s="9">
        <v>7</v>
      </c>
      <c r="AG37" s="9">
        <v>8</v>
      </c>
      <c r="AH37" s="9">
        <v>7</v>
      </c>
      <c r="AI37" s="9">
        <v>8</v>
      </c>
      <c r="AJ37" s="9">
        <v>7</v>
      </c>
      <c r="AK37" s="7" t="s">
        <v>604</v>
      </c>
      <c r="AL37" s="10">
        <f>IF(OR(A37="",COUNT(AF37:AJ37)&lt;5),"",ROUND(SUMPRODUCT(AF37:AJ37,Guia!$B$7:$F$7),1))</f>
        <v>7.5</v>
      </c>
      <c r="AM37" s="10"/>
      <c r="AN37" s="10"/>
      <c r="AO37" s="7" t="s">
        <v>122</v>
      </c>
      <c r="AP37" s="7" t="s">
        <v>97</v>
      </c>
      <c r="AQ37" s="7" t="s">
        <v>97</v>
      </c>
      <c r="AR37" s="7" t="s">
        <v>97</v>
      </c>
      <c r="AS37" s="7" t="s">
        <v>97</v>
      </c>
      <c r="AT37" s="7" t="s">
        <v>97</v>
      </c>
      <c r="AU37" s="7" t="s">
        <v>97</v>
      </c>
    </row>
    <row r="38" spans="1:47" ht="32" customHeight="1">
      <c r="A38" s="7" t="s">
        <v>437</v>
      </c>
      <c r="B38" s="7" t="s">
        <v>100</v>
      </c>
      <c r="C38" s="7" t="s">
        <v>433</v>
      </c>
      <c r="D38" s="7" t="s">
        <v>438</v>
      </c>
      <c r="E38" s="7" t="s">
        <v>103</v>
      </c>
      <c r="F38" s="7" t="s">
        <v>439</v>
      </c>
      <c r="G38" s="7" t="s">
        <v>105</v>
      </c>
      <c r="H38" s="7" t="s">
        <v>106</v>
      </c>
      <c r="I38" s="7" t="s">
        <v>107</v>
      </c>
      <c r="J38" s="7" t="s">
        <v>108</v>
      </c>
      <c r="K38" s="7" t="s">
        <v>109</v>
      </c>
      <c r="L38" s="7" t="s">
        <v>459</v>
      </c>
      <c r="M38" s="7" t="s">
        <v>122</v>
      </c>
      <c r="N38" s="7" t="s">
        <v>112</v>
      </c>
      <c r="O38" s="7" t="s">
        <v>111</v>
      </c>
      <c r="P38" s="7" t="s">
        <v>113</v>
      </c>
      <c r="Q38" s="7" t="s">
        <v>111</v>
      </c>
      <c r="R38" s="7" t="s">
        <v>112</v>
      </c>
      <c r="S38" s="7" t="s">
        <v>113</v>
      </c>
      <c r="T38" s="7" t="s">
        <v>122</v>
      </c>
      <c r="U38" s="7" t="s">
        <v>460</v>
      </c>
      <c r="V38" s="7" t="s">
        <v>461</v>
      </c>
      <c r="W38" s="7" t="s">
        <v>462</v>
      </c>
      <c r="X38" s="7" t="s">
        <v>463</v>
      </c>
      <c r="Y38" s="7" t="s">
        <v>118</v>
      </c>
      <c r="Z38" s="7" t="s">
        <v>464</v>
      </c>
      <c r="AA38" s="16">
        <v>46293</v>
      </c>
      <c r="AB38" s="7" t="s">
        <v>440</v>
      </c>
      <c r="AC38" s="7" t="s">
        <v>98</v>
      </c>
      <c r="AD38" s="7"/>
      <c r="AE38" s="7" t="s">
        <v>120</v>
      </c>
      <c r="AF38" s="9">
        <v>4</v>
      </c>
      <c r="AG38" s="9">
        <v>4</v>
      </c>
      <c r="AH38" s="9">
        <v>8</v>
      </c>
      <c r="AI38" s="9">
        <v>5</v>
      </c>
      <c r="AJ38" s="9">
        <v>8</v>
      </c>
      <c r="AK38" s="7" t="s">
        <v>465</v>
      </c>
      <c r="AL38" s="10">
        <f>IF(OR(A38="",COUNT(AF38:AJ38)&lt;5),"",ROUND(SUMPRODUCT(AF38:AJ38,Guia!$B$7:$F$7),1))</f>
        <v>5.2</v>
      </c>
      <c r="AM38" s="10"/>
      <c r="AN38" s="10"/>
      <c r="AO38" s="7" t="s">
        <v>122</v>
      </c>
      <c r="AP38" s="7" t="s">
        <v>97</v>
      </c>
      <c r="AQ38" s="7" t="s">
        <v>97</v>
      </c>
      <c r="AR38" s="7" t="s">
        <v>97</v>
      </c>
      <c r="AS38" s="7" t="s">
        <v>97</v>
      </c>
      <c r="AT38" s="7" t="s">
        <v>97</v>
      </c>
      <c r="AU38" s="7" t="s">
        <v>97</v>
      </c>
    </row>
    <row r="39" spans="1:47" ht="32" customHeight="1">
      <c r="A39" s="7" t="s">
        <v>441</v>
      </c>
      <c r="B39" s="7" t="s">
        <v>100</v>
      </c>
      <c r="C39" s="7" t="s">
        <v>433</v>
      </c>
      <c r="D39" s="7" t="s">
        <v>442</v>
      </c>
      <c r="E39" s="7" t="s">
        <v>103</v>
      </c>
      <c r="F39" s="7" t="s">
        <v>443</v>
      </c>
      <c r="G39" s="7" t="s">
        <v>105</v>
      </c>
      <c r="H39" s="7" t="s">
        <v>444</v>
      </c>
      <c r="I39" s="7" t="s">
        <v>107</v>
      </c>
      <c r="J39" s="7" t="s">
        <v>108</v>
      </c>
      <c r="K39" s="7" t="s">
        <v>109</v>
      </c>
      <c r="L39" s="7" t="s">
        <v>466</v>
      </c>
      <c r="M39" s="7" t="s">
        <v>122</v>
      </c>
      <c r="N39" s="7" t="s">
        <v>122</v>
      </c>
      <c r="O39" s="7" t="s">
        <v>113</v>
      </c>
      <c r="P39" s="7" t="s">
        <v>113</v>
      </c>
      <c r="Q39" s="7" t="s">
        <v>111</v>
      </c>
      <c r="R39" s="7" t="s">
        <v>122</v>
      </c>
      <c r="S39" s="7" t="s">
        <v>113</v>
      </c>
      <c r="T39" s="7" t="s">
        <v>122</v>
      </c>
      <c r="U39" s="7" t="s">
        <v>467</v>
      </c>
      <c r="V39" s="7" t="s">
        <v>468</v>
      </c>
      <c r="W39" s="7" t="s">
        <v>469</v>
      </c>
      <c r="X39" s="17" t="s">
        <v>204</v>
      </c>
      <c r="Y39" s="7" t="s">
        <v>150</v>
      </c>
      <c r="Z39" s="7" t="s">
        <v>470</v>
      </c>
      <c r="AA39" s="16">
        <v>46293</v>
      </c>
      <c r="AB39" s="7" t="s">
        <v>445</v>
      </c>
      <c r="AC39" s="7" t="s">
        <v>98</v>
      </c>
      <c r="AD39" s="7"/>
      <c r="AE39" s="7" t="s">
        <v>120</v>
      </c>
      <c r="AF39" s="9">
        <v>3</v>
      </c>
      <c r="AG39" s="9">
        <v>3</v>
      </c>
      <c r="AH39" s="9">
        <v>9</v>
      </c>
      <c r="AI39" s="9">
        <v>5</v>
      </c>
      <c r="AJ39" s="9">
        <v>9</v>
      </c>
      <c r="AK39" s="7" t="s">
        <v>471</v>
      </c>
      <c r="AL39" s="10">
        <f>IF(OR(A39="",COUNT(AF39:AJ39)&lt;5),"",ROUND(SUMPRODUCT(AF39:AJ39,Guia!$B$7:$F$7),1))</f>
        <v>4.9000000000000004</v>
      </c>
      <c r="AM39" s="10"/>
      <c r="AN39" s="10"/>
      <c r="AO39" s="7" t="s">
        <v>122</v>
      </c>
      <c r="AP39" s="7" t="s">
        <v>97</v>
      </c>
      <c r="AQ39" s="7" t="s">
        <v>97</v>
      </c>
      <c r="AR39" s="7" t="s">
        <v>97</v>
      </c>
      <c r="AS39" s="7" t="s">
        <v>97</v>
      </c>
      <c r="AT39" s="7" t="s">
        <v>97</v>
      </c>
      <c r="AU39" s="7" t="s">
        <v>97</v>
      </c>
    </row>
    <row r="40" spans="1:47" ht="32" customHeight="1">
      <c r="A40" s="7" t="s">
        <v>446</v>
      </c>
      <c r="B40" s="7" t="s">
        <v>100</v>
      </c>
      <c r="C40" s="7" t="s">
        <v>433</v>
      </c>
      <c r="D40" s="7" t="s">
        <v>447</v>
      </c>
      <c r="E40" s="7" t="s">
        <v>103</v>
      </c>
      <c r="F40" s="7" t="s">
        <v>448</v>
      </c>
      <c r="G40" s="7" t="s">
        <v>105</v>
      </c>
      <c r="H40" s="7" t="s">
        <v>106</v>
      </c>
      <c r="I40" s="7" t="s">
        <v>107</v>
      </c>
      <c r="J40" s="7" t="s">
        <v>108</v>
      </c>
      <c r="K40" s="7" t="s">
        <v>109</v>
      </c>
      <c r="L40" s="7" t="s">
        <v>472</v>
      </c>
      <c r="M40" s="7" t="s">
        <v>112</v>
      </c>
      <c r="N40" s="7" t="s">
        <v>112</v>
      </c>
      <c r="O40" s="7" t="s">
        <v>113</v>
      </c>
      <c r="P40" s="7" t="s">
        <v>113</v>
      </c>
      <c r="Q40" s="7" t="s">
        <v>111</v>
      </c>
      <c r="R40" s="7" t="s">
        <v>111</v>
      </c>
      <c r="S40" s="7" t="s">
        <v>113</v>
      </c>
      <c r="T40" s="7" t="s">
        <v>165</v>
      </c>
      <c r="U40" s="7" t="s">
        <v>473</v>
      </c>
      <c r="V40" s="7" t="s">
        <v>474</v>
      </c>
      <c r="W40" s="7" t="s">
        <v>475</v>
      </c>
      <c r="X40" s="17" t="s">
        <v>204</v>
      </c>
      <c r="Y40" s="7" t="s">
        <v>150</v>
      </c>
      <c r="Z40" s="7" t="s">
        <v>476</v>
      </c>
      <c r="AA40" s="16">
        <v>46293</v>
      </c>
      <c r="AB40" s="7" t="s">
        <v>449</v>
      </c>
      <c r="AC40" s="7" t="s">
        <v>98</v>
      </c>
      <c r="AD40" s="7"/>
      <c r="AE40" s="7" t="s">
        <v>120</v>
      </c>
      <c r="AF40" s="9">
        <v>4</v>
      </c>
      <c r="AG40" s="9">
        <v>4</v>
      </c>
      <c r="AH40" s="9">
        <v>7</v>
      </c>
      <c r="AI40" s="9">
        <v>6</v>
      </c>
      <c r="AJ40" s="9">
        <v>8</v>
      </c>
      <c r="AK40" s="7" t="s">
        <v>477</v>
      </c>
      <c r="AL40" s="10">
        <f>IF(OR(A40="",COUNT(AF40:AJ40)&lt;5),"",ROUND(SUMPRODUCT(AF40:AJ40,Guia!$B$7:$F$7),1))</f>
        <v>5.3</v>
      </c>
      <c r="AM40" s="10"/>
      <c r="AN40" s="10"/>
      <c r="AO40" s="7" t="s">
        <v>122</v>
      </c>
      <c r="AP40" s="7" t="s">
        <v>97</v>
      </c>
      <c r="AQ40" s="7" t="s">
        <v>97</v>
      </c>
      <c r="AR40" s="7" t="s">
        <v>97</v>
      </c>
      <c r="AS40" s="7" t="s">
        <v>97</v>
      </c>
      <c r="AT40" s="7" t="s">
        <v>97</v>
      </c>
      <c r="AU40" s="7" t="s">
        <v>97</v>
      </c>
    </row>
    <row r="41" spans="1:47" ht="32" customHeight="1">
      <c r="A41" s="7" t="s">
        <v>450</v>
      </c>
      <c r="B41" s="7" t="s">
        <v>100</v>
      </c>
      <c r="C41" s="7" t="s">
        <v>433</v>
      </c>
      <c r="D41" s="7" t="s">
        <v>451</v>
      </c>
      <c r="E41" s="7" t="s">
        <v>125</v>
      </c>
      <c r="F41" s="7" t="s">
        <v>452</v>
      </c>
      <c r="G41" s="7" t="s">
        <v>105</v>
      </c>
      <c r="H41" s="7" t="s">
        <v>106</v>
      </c>
      <c r="I41" s="7" t="s">
        <v>107</v>
      </c>
      <c r="J41" s="7" t="s">
        <v>108</v>
      </c>
      <c r="K41" s="7" t="s">
        <v>236</v>
      </c>
      <c r="L41" s="7" t="s">
        <v>478</v>
      </c>
      <c r="M41" s="7" t="s">
        <v>111</v>
      </c>
      <c r="N41" s="7" t="s">
        <v>113</v>
      </c>
      <c r="O41" s="7" t="s">
        <v>111</v>
      </c>
      <c r="P41" s="7" t="s">
        <v>113</v>
      </c>
      <c r="Q41" s="7" t="s">
        <v>111</v>
      </c>
      <c r="R41" s="7" t="s">
        <v>111</v>
      </c>
      <c r="S41" s="7" t="s">
        <v>113</v>
      </c>
      <c r="T41" s="7" t="s">
        <v>122</v>
      </c>
      <c r="U41" s="7" t="s">
        <v>479</v>
      </c>
      <c r="V41" s="7" t="s">
        <v>480</v>
      </c>
      <c r="W41" s="7" t="s">
        <v>481</v>
      </c>
      <c r="X41" s="7" t="s">
        <v>482</v>
      </c>
      <c r="Y41" s="7" t="s">
        <v>118</v>
      </c>
      <c r="Z41" s="7" t="s">
        <v>483</v>
      </c>
      <c r="AA41" s="16">
        <v>46293</v>
      </c>
      <c r="AB41" s="7" t="s">
        <v>453</v>
      </c>
      <c r="AC41" s="7" t="s">
        <v>98</v>
      </c>
      <c r="AD41" s="7"/>
      <c r="AE41" s="7" t="s">
        <v>120</v>
      </c>
      <c r="AF41" s="9">
        <v>6</v>
      </c>
      <c r="AG41" s="9">
        <v>5</v>
      </c>
      <c r="AH41" s="9">
        <v>6</v>
      </c>
      <c r="AI41" s="9">
        <v>7</v>
      </c>
      <c r="AJ41" s="9">
        <v>7</v>
      </c>
      <c r="AK41" s="7" t="s">
        <v>484</v>
      </c>
      <c r="AL41" s="10">
        <f>IF(OR(A41="",COUNT(AF41:AJ41)&lt;5),"",ROUND(SUMPRODUCT(AF41:AJ41,Guia!$B$7:$F$7),1))</f>
        <v>6</v>
      </c>
      <c r="AM41" s="10"/>
      <c r="AN41" s="10"/>
      <c r="AO41" s="7" t="s">
        <v>122</v>
      </c>
      <c r="AP41" s="7" t="s">
        <v>97</v>
      </c>
      <c r="AQ41" s="7" t="s">
        <v>97</v>
      </c>
      <c r="AR41" s="7" t="s">
        <v>97</v>
      </c>
      <c r="AS41" s="7" t="s">
        <v>97</v>
      </c>
      <c r="AT41" s="7" t="s">
        <v>97</v>
      </c>
      <c r="AU41" s="7" t="s">
        <v>97</v>
      </c>
    </row>
    <row r="42" spans="1:47" ht="32" customHeight="1">
      <c r="A42" s="7" t="s">
        <v>485</v>
      </c>
      <c r="B42" s="7" t="s">
        <v>100</v>
      </c>
      <c r="C42" s="7" t="s">
        <v>486</v>
      </c>
      <c r="D42" s="7" t="s">
        <v>487</v>
      </c>
      <c r="E42" s="7" t="s">
        <v>103</v>
      </c>
      <c r="F42" s="7" t="s">
        <v>488</v>
      </c>
      <c r="G42" s="7" t="s">
        <v>105</v>
      </c>
      <c r="H42" s="7" t="s">
        <v>106</v>
      </c>
      <c r="I42" s="7" t="s">
        <v>107</v>
      </c>
      <c r="J42" s="7" t="s">
        <v>108</v>
      </c>
      <c r="K42" s="7" t="s">
        <v>109</v>
      </c>
      <c r="L42" s="7" t="s">
        <v>501</v>
      </c>
      <c r="M42" s="7" t="s">
        <v>111</v>
      </c>
      <c r="N42" s="7" t="s">
        <v>112</v>
      </c>
      <c r="O42" s="7" t="s">
        <v>111</v>
      </c>
      <c r="P42" s="7" t="s">
        <v>113</v>
      </c>
      <c r="Q42" s="7" t="s">
        <v>111</v>
      </c>
      <c r="R42" s="7" t="s">
        <v>111</v>
      </c>
      <c r="S42" s="7" t="s">
        <v>113</v>
      </c>
      <c r="T42" s="7" t="s">
        <v>165</v>
      </c>
      <c r="U42" s="7" t="s">
        <v>502</v>
      </c>
      <c r="V42" s="7" t="s">
        <v>503</v>
      </c>
      <c r="W42" s="7" t="s">
        <v>504</v>
      </c>
      <c r="X42" s="7" t="s">
        <v>505</v>
      </c>
      <c r="Y42" s="7" t="s">
        <v>118</v>
      </c>
      <c r="Z42" s="7" t="s">
        <v>506</v>
      </c>
      <c r="AA42" s="16">
        <v>46293</v>
      </c>
      <c r="AB42" s="7" t="s">
        <v>507</v>
      </c>
      <c r="AC42" s="7" t="s">
        <v>98</v>
      </c>
      <c r="AD42" s="7"/>
      <c r="AE42" s="7" t="s">
        <v>120</v>
      </c>
      <c r="AF42" s="9">
        <v>4</v>
      </c>
      <c r="AG42" s="9">
        <v>4</v>
      </c>
      <c r="AH42" s="9">
        <v>7</v>
      </c>
      <c r="AI42" s="9">
        <v>6</v>
      </c>
      <c r="AJ42" s="9">
        <v>8</v>
      </c>
      <c r="AK42" s="7" t="s">
        <v>508</v>
      </c>
      <c r="AL42" s="10">
        <f>IF(OR(A42="",COUNT(AF42:AJ42)&lt;5),"",ROUND(SUMPRODUCT(AF42:AJ42,Guia!$B$7:$F$7),1))</f>
        <v>5.3</v>
      </c>
      <c r="AM42" s="10"/>
      <c r="AN42" s="10"/>
      <c r="AO42" s="7" t="s">
        <v>122</v>
      </c>
      <c r="AP42" s="7" t="s">
        <v>97</v>
      </c>
      <c r="AQ42" s="7" t="s">
        <v>97</v>
      </c>
      <c r="AR42" s="7" t="s">
        <v>97</v>
      </c>
      <c r="AS42" s="7" t="s">
        <v>97</v>
      </c>
      <c r="AT42" s="7" t="s">
        <v>97</v>
      </c>
      <c r="AU42" s="7" t="s">
        <v>97</v>
      </c>
    </row>
    <row r="43" spans="1:47" ht="32" customHeight="1">
      <c r="A43" s="7" t="s">
        <v>489</v>
      </c>
      <c r="B43" s="7" t="s">
        <v>100</v>
      </c>
      <c r="C43" s="7" t="s">
        <v>486</v>
      </c>
      <c r="D43" s="7" t="s">
        <v>490</v>
      </c>
      <c r="E43" s="7" t="s">
        <v>103</v>
      </c>
      <c r="F43" s="7" t="s">
        <v>491</v>
      </c>
      <c r="G43" s="7" t="s">
        <v>105</v>
      </c>
      <c r="H43" s="7" t="s">
        <v>106</v>
      </c>
      <c r="I43" s="7" t="s">
        <v>107</v>
      </c>
      <c r="J43" s="7" t="s">
        <v>108</v>
      </c>
      <c r="K43" s="7" t="s">
        <v>109</v>
      </c>
      <c r="L43" s="7" t="s">
        <v>509</v>
      </c>
      <c r="M43" s="7" t="s">
        <v>122</v>
      </c>
      <c r="N43" s="7" t="s">
        <v>112</v>
      </c>
      <c r="O43" s="7" t="s">
        <v>122</v>
      </c>
      <c r="P43" s="7" t="s">
        <v>113</v>
      </c>
      <c r="Q43" s="7" t="s">
        <v>111</v>
      </c>
      <c r="R43" s="7" t="s">
        <v>112</v>
      </c>
      <c r="S43" s="7" t="s">
        <v>112</v>
      </c>
      <c r="T43" s="7" t="s">
        <v>165</v>
      </c>
      <c r="U43" s="7" t="s">
        <v>510</v>
      </c>
      <c r="V43" s="7" t="s">
        <v>511</v>
      </c>
      <c r="W43" s="7" t="s">
        <v>512</v>
      </c>
      <c r="X43" s="7" t="s">
        <v>140</v>
      </c>
      <c r="Y43" s="7" t="s">
        <v>150</v>
      </c>
      <c r="Z43" s="7" t="s">
        <v>513</v>
      </c>
      <c r="AA43" s="16">
        <v>46293</v>
      </c>
      <c r="AB43" s="7" t="s">
        <v>514</v>
      </c>
      <c r="AC43" s="7" t="s">
        <v>98</v>
      </c>
      <c r="AD43" s="7"/>
      <c r="AE43" s="7" t="s">
        <v>120</v>
      </c>
      <c r="AF43" s="9">
        <v>3</v>
      </c>
      <c r="AG43" s="9">
        <v>3</v>
      </c>
      <c r="AH43" s="9">
        <v>9</v>
      </c>
      <c r="AI43" s="9">
        <v>5</v>
      </c>
      <c r="AJ43" s="9">
        <v>9</v>
      </c>
      <c r="AK43" s="7" t="s">
        <v>515</v>
      </c>
      <c r="AL43" s="10">
        <f>IF(OR(A43="",COUNT(AF43:AJ43)&lt;5),"",ROUND(SUMPRODUCT(AF43:AJ43,Guia!$B$7:$F$7),1))</f>
        <v>4.9000000000000004</v>
      </c>
      <c r="AM43" s="10"/>
      <c r="AN43" s="10"/>
      <c r="AO43" s="7" t="s">
        <v>122</v>
      </c>
      <c r="AP43" s="7" t="s">
        <v>97</v>
      </c>
      <c r="AQ43" s="7" t="s">
        <v>97</v>
      </c>
      <c r="AR43" s="7" t="s">
        <v>97</v>
      </c>
      <c r="AS43" s="7" t="s">
        <v>97</v>
      </c>
      <c r="AT43" s="7" t="s">
        <v>97</v>
      </c>
      <c r="AU43" s="7" t="s">
        <v>97</v>
      </c>
    </row>
    <row r="44" spans="1:47" ht="32" customHeight="1">
      <c r="A44" s="7" t="s">
        <v>492</v>
      </c>
      <c r="B44" s="7" t="s">
        <v>100</v>
      </c>
      <c r="C44" s="7" t="s">
        <v>486</v>
      </c>
      <c r="D44" s="7" t="s">
        <v>493</v>
      </c>
      <c r="E44" s="7" t="s">
        <v>125</v>
      </c>
      <c r="F44" s="7" t="s">
        <v>494</v>
      </c>
      <c r="G44" s="7" t="s">
        <v>105</v>
      </c>
      <c r="H44" s="7" t="s">
        <v>106</v>
      </c>
      <c r="I44" s="7" t="s">
        <v>107</v>
      </c>
      <c r="J44" s="7" t="s">
        <v>108</v>
      </c>
      <c r="K44" s="7" t="s">
        <v>157</v>
      </c>
      <c r="L44" s="7"/>
      <c r="M44" s="7" t="s">
        <v>112</v>
      </c>
      <c r="N44" s="7" t="s">
        <v>112</v>
      </c>
      <c r="O44" s="7" t="s">
        <v>111</v>
      </c>
      <c r="P44" s="7" t="s">
        <v>113</v>
      </c>
      <c r="Q44" s="7" t="s">
        <v>111</v>
      </c>
      <c r="R44" s="7" t="s">
        <v>111</v>
      </c>
      <c r="S44" s="7" t="s">
        <v>113</v>
      </c>
      <c r="T44" s="7" t="s">
        <v>165</v>
      </c>
      <c r="U44" s="7" t="s">
        <v>516</v>
      </c>
      <c r="V44" s="7" t="s">
        <v>517</v>
      </c>
      <c r="W44" s="7" t="s">
        <v>518</v>
      </c>
      <c r="X44" s="7" t="s">
        <v>519</v>
      </c>
      <c r="Y44" s="7" t="s">
        <v>162</v>
      </c>
      <c r="Z44" s="7" t="s">
        <v>520</v>
      </c>
      <c r="AA44" s="16">
        <v>46293</v>
      </c>
      <c r="AB44" s="7" t="s">
        <v>521</v>
      </c>
      <c r="AC44" s="7" t="s">
        <v>98</v>
      </c>
      <c r="AD44" s="7"/>
      <c r="AE44" s="7" t="s">
        <v>120</v>
      </c>
      <c r="AF44" s="9">
        <v>7</v>
      </c>
      <c r="AG44" s="9">
        <v>7</v>
      </c>
      <c r="AH44" s="9">
        <v>7</v>
      </c>
      <c r="AI44" s="9">
        <v>7</v>
      </c>
      <c r="AJ44" s="9">
        <v>7</v>
      </c>
      <c r="AK44" s="7" t="s">
        <v>605</v>
      </c>
      <c r="AL44" s="10">
        <f>IF(OR(A44="",COUNT(AF44:AJ44)&lt;5),"",ROUND(SUMPRODUCT(AF44:AJ44,Guia!$B$7:$F$7),1))</f>
        <v>7</v>
      </c>
      <c r="AM44" s="10"/>
      <c r="AN44" s="10"/>
      <c r="AO44" s="7" t="s">
        <v>122</v>
      </c>
      <c r="AP44" s="7" t="s">
        <v>97</v>
      </c>
      <c r="AQ44" s="7" t="s">
        <v>97</v>
      </c>
      <c r="AR44" s="7" t="s">
        <v>97</v>
      </c>
      <c r="AS44" s="7" t="s">
        <v>97</v>
      </c>
      <c r="AT44" s="7" t="s">
        <v>97</v>
      </c>
      <c r="AU44" s="7" t="s">
        <v>97</v>
      </c>
    </row>
    <row r="45" spans="1:47" ht="32" customHeight="1">
      <c r="A45" s="7" t="s">
        <v>495</v>
      </c>
      <c r="B45" s="7" t="s">
        <v>100</v>
      </c>
      <c r="C45" s="7" t="s">
        <v>486</v>
      </c>
      <c r="D45" s="7" t="s">
        <v>496</v>
      </c>
      <c r="E45" s="7" t="s">
        <v>125</v>
      </c>
      <c r="F45" s="7" t="s">
        <v>497</v>
      </c>
      <c r="G45" s="7" t="s">
        <v>105</v>
      </c>
      <c r="H45" s="7" t="s">
        <v>106</v>
      </c>
      <c r="I45" s="7" t="s">
        <v>107</v>
      </c>
      <c r="J45" s="7" t="s">
        <v>156</v>
      </c>
      <c r="K45" s="7" t="s">
        <v>236</v>
      </c>
      <c r="L45" s="7" t="s">
        <v>522</v>
      </c>
      <c r="M45" s="7" t="s">
        <v>111</v>
      </c>
      <c r="N45" s="7" t="s">
        <v>112</v>
      </c>
      <c r="O45" s="7" t="s">
        <v>111</v>
      </c>
      <c r="P45" s="7" t="s">
        <v>113</v>
      </c>
      <c r="Q45" s="7" t="s">
        <v>111</v>
      </c>
      <c r="R45" s="7" t="s">
        <v>112</v>
      </c>
      <c r="S45" s="7" t="s">
        <v>113</v>
      </c>
      <c r="T45" s="7" t="s">
        <v>122</v>
      </c>
      <c r="U45" s="7" t="s">
        <v>523</v>
      </c>
      <c r="V45" s="7" t="s">
        <v>524</v>
      </c>
      <c r="W45" s="7" t="s">
        <v>525</v>
      </c>
      <c r="X45" s="7" t="s">
        <v>526</v>
      </c>
      <c r="Y45" s="7" t="s">
        <v>118</v>
      </c>
      <c r="Z45" s="7" t="s">
        <v>527</v>
      </c>
      <c r="AA45" s="16">
        <v>46293</v>
      </c>
      <c r="AB45" s="7" t="s">
        <v>528</v>
      </c>
      <c r="AC45" s="7" t="s">
        <v>98</v>
      </c>
      <c r="AD45" s="7"/>
      <c r="AE45" s="7" t="s">
        <v>120</v>
      </c>
      <c r="AF45" s="9">
        <v>7</v>
      </c>
      <c r="AG45" s="9">
        <v>8</v>
      </c>
      <c r="AH45" s="9">
        <v>7</v>
      </c>
      <c r="AI45" s="9">
        <v>8</v>
      </c>
      <c r="AJ45" s="9">
        <v>7</v>
      </c>
      <c r="AK45" s="7" t="s">
        <v>606</v>
      </c>
      <c r="AL45" s="10">
        <f>IF(OR(A45="",COUNT(AF45:AJ45)&lt;5),"",ROUND(SUMPRODUCT(AF45:AJ45,Guia!$B$7:$F$7),1))</f>
        <v>7.5</v>
      </c>
      <c r="AM45" s="10"/>
      <c r="AN45" s="10"/>
      <c r="AO45" s="7" t="s">
        <v>122</v>
      </c>
      <c r="AP45" s="7" t="s">
        <v>97</v>
      </c>
      <c r="AQ45" s="7" t="s">
        <v>97</v>
      </c>
      <c r="AR45" s="7" t="s">
        <v>97</v>
      </c>
      <c r="AS45" s="7" t="s">
        <v>97</v>
      </c>
      <c r="AT45" s="7" t="s">
        <v>97</v>
      </c>
      <c r="AU45" s="7" t="s">
        <v>97</v>
      </c>
    </row>
    <row r="46" spans="1:47" ht="32" customHeight="1">
      <c r="A46" s="7" t="s">
        <v>498</v>
      </c>
      <c r="B46" s="7" t="s">
        <v>100</v>
      </c>
      <c r="C46" s="7" t="s">
        <v>486</v>
      </c>
      <c r="D46" s="7" t="s">
        <v>499</v>
      </c>
      <c r="E46" s="7" t="s">
        <v>103</v>
      </c>
      <c r="F46" s="7" t="s">
        <v>500</v>
      </c>
      <c r="G46" s="7" t="s">
        <v>105</v>
      </c>
      <c r="H46" s="7" t="s">
        <v>106</v>
      </c>
      <c r="I46" s="7" t="s">
        <v>107</v>
      </c>
      <c r="J46" s="7" t="s">
        <v>108</v>
      </c>
      <c r="K46" s="7" t="s">
        <v>109</v>
      </c>
      <c r="L46" s="7" t="s">
        <v>529</v>
      </c>
      <c r="M46" s="7" t="s">
        <v>122</v>
      </c>
      <c r="N46" s="7" t="s">
        <v>122</v>
      </c>
      <c r="O46" s="7" t="s">
        <v>122</v>
      </c>
      <c r="P46" s="7" t="s">
        <v>113</v>
      </c>
      <c r="Q46" s="7" t="s">
        <v>111</v>
      </c>
      <c r="R46" s="7" t="s">
        <v>111</v>
      </c>
      <c r="S46" s="7" t="s">
        <v>113</v>
      </c>
      <c r="T46" s="7" t="s">
        <v>165</v>
      </c>
      <c r="U46" s="7" t="s">
        <v>530</v>
      </c>
      <c r="V46" s="7" t="s">
        <v>610</v>
      </c>
      <c r="W46" s="7" t="s">
        <v>611</v>
      </c>
      <c r="X46" s="7" t="s">
        <v>140</v>
      </c>
      <c r="Y46" s="7" t="s">
        <v>150</v>
      </c>
      <c r="Z46" s="7" t="s">
        <v>529</v>
      </c>
      <c r="AA46" s="16">
        <v>46293</v>
      </c>
      <c r="AB46" s="7" t="s">
        <v>531</v>
      </c>
      <c r="AC46" s="7" t="s">
        <v>98</v>
      </c>
      <c r="AD46" s="7"/>
      <c r="AE46" s="7" t="s">
        <v>120</v>
      </c>
      <c r="AF46" s="9">
        <v>3</v>
      </c>
      <c r="AG46" s="9">
        <v>3</v>
      </c>
      <c r="AH46" s="9">
        <v>8</v>
      </c>
      <c r="AI46" s="9">
        <v>6</v>
      </c>
      <c r="AJ46" s="9">
        <v>7</v>
      </c>
      <c r="AK46" s="7" t="s">
        <v>612</v>
      </c>
      <c r="AL46" s="10">
        <f>IF(OR(A46="",COUNT(AF46:AJ46)&lt;5),"",ROUND(SUMPRODUCT(AF46:AJ46,Guia!$B$7:$F$7),1))</f>
        <v>4.8</v>
      </c>
      <c r="AM46" s="10"/>
      <c r="AN46" s="10"/>
      <c r="AO46" s="7" t="s">
        <v>122</v>
      </c>
      <c r="AP46" s="7" t="s">
        <v>97</v>
      </c>
      <c r="AQ46" s="7" t="s">
        <v>97</v>
      </c>
      <c r="AR46" s="7" t="s">
        <v>97</v>
      </c>
      <c r="AS46" s="7" t="s">
        <v>97</v>
      </c>
      <c r="AT46" s="7" t="s">
        <v>97</v>
      </c>
      <c r="AU46" s="7" t="s">
        <v>97</v>
      </c>
    </row>
    <row r="47" spans="1:47" ht="32" customHeight="1">
      <c r="A47" s="7" t="s">
        <v>538</v>
      </c>
      <c r="B47" s="7" t="s">
        <v>100</v>
      </c>
      <c r="C47" s="7" t="s">
        <v>539</v>
      </c>
      <c r="D47" s="7" t="s">
        <v>540</v>
      </c>
      <c r="E47" s="7" t="s">
        <v>103</v>
      </c>
      <c r="F47" s="7" t="s">
        <v>541</v>
      </c>
      <c r="G47" s="7" t="s">
        <v>105</v>
      </c>
      <c r="H47" s="7" t="s">
        <v>106</v>
      </c>
      <c r="I47" s="7" t="s">
        <v>107</v>
      </c>
      <c r="J47" s="7" t="s">
        <v>108</v>
      </c>
      <c r="K47" s="7" t="s">
        <v>109</v>
      </c>
      <c r="L47" s="7" t="s">
        <v>553</v>
      </c>
      <c r="M47" s="7" t="s">
        <v>122</v>
      </c>
      <c r="N47" s="7" t="s">
        <v>112</v>
      </c>
      <c r="O47" s="7" t="s">
        <v>111</v>
      </c>
      <c r="P47" s="7" t="s">
        <v>113</v>
      </c>
      <c r="Q47" s="7" t="s">
        <v>111</v>
      </c>
      <c r="R47" s="7" t="s">
        <v>111</v>
      </c>
      <c r="S47" s="7" t="s">
        <v>113</v>
      </c>
      <c r="T47" s="7" t="s">
        <v>165</v>
      </c>
      <c r="U47" s="7" t="s">
        <v>554</v>
      </c>
      <c r="V47" s="7" t="s">
        <v>588</v>
      </c>
      <c r="W47" s="7" t="s">
        <v>589</v>
      </c>
      <c r="X47" s="7" t="s">
        <v>590</v>
      </c>
      <c r="Y47" s="7" t="s">
        <v>118</v>
      </c>
      <c r="Z47" s="7" t="s">
        <v>555</v>
      </c>
      <c r="AA47" s="16">
        <v>46293</v>
      </c>
      <c r="AB47" s="7" t="s">
        <v>556</v>
      </c>
      <c r="AC47" s="7" t="s">
        <v>257</v>
      </c>
      <c r="AD47" s="7" t="s">
        <v>770</v>
      </c>
      <c r="AE47" s="7" t="s">
        <v>772</v>
      </c>
      <c r="AF47" s="9">
        <v>9</v>
      </c>
      <c r="AG47" s="9">
        <v>8</v>
      </c>
      <c r="AH47" s="9">
        <v>8</v>
      </c>
      <c r="AI47" s="9">
        <v>8</v>
      </c>
      <c r="AJ47" s="9">
        <v>8</v>
      </c>
      <c r="AK47" s="7" t="s">
        <v>669</v>
      </c>
      <c r="AL47" s="10">
        <f>IF(OR(A47="",COUNT(AF47:AJ47)&lt;5),"",ROUND(SUMPRODUCT(AF47:AJ47,Guia!$B$7:$F$7),1))</f>
        <v>8.3000000000000007</v>
      </c>
      <c r="AM47" s="10">
        <v>8</v>
      </c>
      <c r="AN47" s="10" t="s">
        <v>771</v>
      </c>
      <c r="AO47" s="7" t="s">
        <v>122</v>
      </c>
      <c r="AP47" s="7" t="s">
        <v>122</v>
      </c>
      <c r="AQ47" s="7" t="s">
        <v>122</v>
      </c>
      <c r="AR47" s="7" t="s">
        <v>122</v>
      </c>
      <c r="AS47" s="7" t="s">
        <v>122</v>
      </c>
      <c r="AT47" s="7" t="s">
        <v>122</v>
      </c>
      <c r="AU47" s="7" t="s">
        <v>122</v>
      </c>
    </row>
    <row r="48" spans="1:47" ht="32" customHeight="1">
      <c r="A48" s="7" t="s">
        <v>542</v>
      </c>
      <c r="B48" s="7" t="s">
        <v>100</v>
      </c>
      <c r="C48" s="7" t="s">
        <v>539</v>
      </c>
      <c r="D48" s="7" t="s">
        <v>543</v>
      </c>
      <c r="E48" s="7" t="s">
        <v>103</v>
      </c>
      <c r="F48" s="7" t="s">
        <v>544</v>
      </c>
      <c r="G48" s="7" t="s">
        <v>105</v>
      </c>
      <c r="H48" s="7" t="s">
        <v>106</v>
      </c>
      <c r="I48" s="7" t="s">
        <v>107</v>
      </c>
      <c r="J48" s="7" t="s">
        <v>108</v>
      </c>
      <c r="K48" s="7" t="s">
        <v>109</v>
      </c>
      <c r="L48" s="7" t="s">
        <v>557</v>
      </c>
      <c r="M48" s="7" t="s">
        <v>122</v>
      </c>
      <c r="N48" s="7" t="s">
        <v>112</v>
      </c>
      <c r="O48" s="7" t="s">
        <v>122</v>
      </c>
      <c r="P48" s="7" t="s">
        <v>113</v>
      </c>
      <c r="Q48" s="7" t="s">
        <v>111</v>
      </c>
      <c r="R48" s="7" t="s">
        <v>112</v>
      </c>
      <c r="S48" s="7" t="s">
        <v>122</v>
      </c>
      <c r="T48" s="7" t="s">
        <v>165</v>
      </c>
      <c r="U48" s="7" t="s">
        <v>558</v>
      </c>
      <c r="V48" s="7" t="s">
        <v>559</v>
      </c>
      <c r="W48" s="7" t="s">
        <v>560</v>
      </c>
      <c r="X48" s="7" t="s">
        <v>561</v>
      </c>
      <c r="Y48" s="7" t="s">
        <v>150</v>
      </c>
      <c r="Z48" s="7" t="s">
        <v>562</v>
      </c>
      <c r="AA48" s="16">
        <v>46293</v>
      </c>
      <c r="AB48" s="7" t="s">
        <v>563</v>
      </c>
      <c r="AC48" s="7" t="s">
        <v>98</v>
      </c>
      <c r="AD48" s="7"/>
      <c r="AE48" s="7" t="s">
        <v>120</v>
      </c>
      <c r="AF48" s="9">
        <v>3</v>
      </c>
      <c r="AG48" s="9">
        <v>3</v>
      </c>
      <c r="AH48" s="9">
        <v>8</v>
      </c>
      <c r="AI48" s="9">
        <v>5</v>
      </c>
      <c r="AJ48" s="9">
        <v>8</v>
      </c>
      <c r="AK48" s="7" t="s">
        <v>564</v>
      </c>
      <c r="AL48" s="10">
        <f>IF(OR(A48="",COUNT(AF48:AJ48)&lt;5),"",ROUND(SUMPRODUCT(AF48:AJ48,Guia!$B$7:$F$7),1))</f>
        <v>4.7</v>
      </c>
      <c r="AM48" s="10"/>
      <c r="AN48" s="10"/>
      <c r="AO48" s="7" t="s">
        <v>122</v>
      </c>
      <c r="AP48" s="7" t="s">
        <v>97</v>
      </c>
      <c r="AQ48" s="7" t="s">
        <v>97</v>
      </c>
      <c r="AR48" s="7" t="s">
        <v>97</v>
      </c>
      <c r="AS48" s="7" t="s">
        <v>97</v>
      </c>
      <c r="AT48" s="7" t="s">
        <v>97</v>
      </c>
      <c r="AU48" s="7" t="s">
        <v>97</v>
      </c>
    </row>
    <row r="49" spans="1:47" ht="32" customHeight="1">
      <c r="A49" s="7" t="s">
        <v>545</v>
      </c>
      <c r="B49" s="7" t="s">
        <v>100</v>
      </c>
      <c r="C49" s="7" t="s">
        <v>539</v>
      </c>
      <c r="D49" s="7" t="s">
        <v>546</v>
      </c>
      <c r="E49" s="7" t="s">
        <v>103</v>
      </c>
      <c r="F49" s="7" t="s">
        <v>547</v>
      </c>
      <c r="G49" s="7" t="s">
        <v>105</v>
      </c>
      <c r="H49" s="7" t="s">
        <v>106</v>
      </c>
      <c r="I49" s="7" t="s">
        <v>107</v>
      </c>
      <c r="J49" s="7" t="s">
        <v>108</v>
      </c>
      <c r="K49" s="7" t="s">
        <v>109</v>
      </c>
      <c r="L49" s="7" t="s">
        <v>565</v>
      </c>
      <c r="M49" s="7" t="s">
        <v>111</v>
      </c>
      <c r="N49" s="7" t="s">
        <v>112</v>
      </c>
      <c r="O49" s="7" t="s">
        <v>112</v>
      </c>
      <c r="P49" s="7" t="s">
        <v>113</v>
      </c>
      <c r="Q49" s="7" t="s">
        <v>111</v>
      </c>
      <c r="R49" s="7" t="s">
        <v>122</v>
      </c>
      <c r="S49" s="7" t="s">
        <v>113</v>
      </c>
      <c r="T49" s="7" t="s">
        <v>165</v>
      </c>
      <c r="U49" s="7" t="s">
        <v>566</v>
      </c>
      <c r="V49" s="7" t="s">
        <v>567</v>
      </c>
      <c r="W49" s="7" t="s">
        <v>568</v>
      </c>
      <c r="X49" s="7" t="s">
        <v>569</v>
      </c>
      <c r="Y49" s="7" t="s">
        <v>118</v>
      </c>
      <c r="Z49" s="7" t="s">
        <v>570</v>
      </c>
      <c r="AA49" s="16">
        <v>46293</v>
      </c>
      <c r="AB49" s="7" t="s">
        <v>571</v>
      </c>
      <c r="AC49" s="7" t="s">
        <v>98</v>
      </c>
      <c r="AD49" s="7"/>
      <c r="AE49" s="7" t="s">
        <v>120</v>
      </c>
      <c r="AF49" s="9">
        <v>6</v>
      </c>
      <c r="AG49" s="9">
        <v>5</v>
      </c>
      <c r="AH49" s="9">
        <v>6</v>
      </c>
      <c r="AI49" s="9">
        <v>6</v>
      </c>
      <c r="AJ49" s="9">
        <v>7</v>
      </c>
      <c r="AK49" s="7" t="s">
        <v>572</v>
      </c>
      <c r="AL49" s="10">
        <f>IF(OR(A49="",COUNT(AF49:AJ49)&lt;5),"",ROUND(SUMPRODUCT(AF49:AJ49,Guia!$B$7:$F$7),1))</f>
        <v>5.8</v>
      </c>
      <c r="AM49" s="10"/>
      <c r="AN49" s="10"/>
      <c r="AO49" s="7" t="s">
        <v>122</v>
      </c>
      <c r="AP49" s="7" t="s">
        <v>97</v>
      </c>
      <c r="AQ49" s="7" t="s">
        <v>97</v>
      </c>
      <c r="AR49" s="7" t="s">
        <v>97</v>
      </c>
      <c r="AS49" s="7" t="s">
        <v>97</v>
      </c>
      <c r="AT49" s="7" t="s">
        <v>97</v>
      </c>
      <c r="AU49" s="7" t="s">
        <v>97</v>
      </c>
    </row>
    <row r="50" spans="1:47" ht="32" customHeight="1">
      <c r="A50" s="7" t="s">
        <v>548</v>
      </c>
      <c r="B50" s="7" t="s">
        <v>100</v>
      </c>
      <c r="C50" s="7" t="s">
        <v>539</v>
      </c>
      <c r="D50" s="7" t="s">
        <v>549</v>
      </c>
      <c r="E50" s="7" t="s">
        <v>125</v>
      </c>
      <c r="F50" s="7" t="s">
        <v>550</v>
      </c>
      <c r="G50" s="7" t="s">
        <v>105</v>
      </c>
      <c r="H50" s="7" t="s">
        <v>106</v>
      </c>
      <c r="I50" s="7" t="s">
        <v>107</v>
      </c>
      <c r="J50" s="7" t="s">
        <v>108</v>
      </c>
      <c r="K50" s="7" t="s">
        <v>109</v>
      </c>
      <c r="L50" s="7" t="s">
        <v>573</v>
      </c>
      <c r="M50" s="7" t="s">
        <v>113</v>
      </c>
      <c r="N50" s="7" t="s">
        <v>111</v>
      </c>
      <c r="O50" s="7" t="s">
        <v>113</v>
      </c>
      <c r="P50" s="7" t="s">
        <v>113</v>
      </c>
      <c r="Q50" s="7" t="s">
        <v>111</v>
      </c>
      <c r="R50" s="7" t="s">
        <v>122</v>
      </c>
      <c r="S50" s="7" t="s">
        <v>113</v>
      </c>
      <c r="T50" s="7" t="s">
        <v>97</v>
      </c>
      <c r="U50" s="7" t="s">
        <v>574</v>
      </c>
      <c r="V50" s="7" t="s">
        <v>575</v>
      </c>
      <c r="W50" s="7" t="s">
        <v>576</v>
      </c>
      <c r="X50" s="7" t="s">
        <v>577</v>
      </c>
      <c r="Y50" s="7" t="s">
        <v>118</v>
      </c>
      <c r="Z50" s="7" t="s">
        <v>578</v>
      </c>
      <c r="AA50" s="16">
        <v>46293</v>
      </c>
      <c r="AB50" s="7" t="s">
        <v>579</v>
      </c>
      <c r="AC50" s="7" t="s">
        <v>98</v>
      </c>
      <c r="AD50" s="7"/>
      <c r="AE50" s="7" t="s">
        <v>120</v>
      </c>
      <c r="AF50" s="9">
        <v>4</v>
      </c>
      <c r="AG50" s="9">
        <v>4</v>
      </c>
      <c r="AH50" s="9">
        <v>6</v>
      </c>
      <c r="AI50" s="9">
        <v>5</v>
      </c>
      <c r="AJ50" s="9">
        <v>7</v>
      </c>
      <c r="AK50" s="7" t="s">
        <v>580</v>
      </c>
      <c r="AL50" s="10">
        <f>IF(OR(A50="",COUNT(AF50:AJ50)&lt;5),"",ROUND(SUMPRODUCT(AF50:AJ50,Guia!$B$7:$F$7),1))</f>
        <v>4.8</v>
      </c>
      <c r="AM50" s="10"/>
      <c r="AN50" s="10"/>
      <c r="AO50" s="7" t="s">
        <v>122</v>
      </c>
      <c r="AP50" s="7" t="s">
        <v>97</v>
      </c>
      <c r="AQ50" s="7" t="s">
        <v>97</v>
      </c>
      <c r="AR50" s="7" t="s">
        <v>97</v>
      </c>
      <c r="AS50" s="7" t="s">
        <v>97</v>
      </c>
      <c r="AT50" s="7" t="s">
        <v>97</v>
      </c>
      <c r="AU50" s="7" t="s">
        <v>97</v>
      </c>
    </row>
    <row r="51" spans="1:47" ht="32" customHeight="1">
      <c r="A51" s="7" t="s">
        <v>551</v>
      </c>
      <c r="B51" s="7" t="s">
        <v>100</v>
      </c>
      <c r="C51" s="7" t="s">
        <v>539</v>
      </c>
      <c r="D51" s="7" t="s">
        <v>552</v>
      </c>
      <c r="E51" s="7" t="s">
        <v>125</v>
      </c>
      <c r="F51" s="7" t="s">
        <v>443</v>
      </c>
      <c r="G51" s="7" t="s">
        <v>105</v>
      </c>
      <c r="H51" s="7" t="s">
        <v>444</v>
      </c>
      <c r="I51" s="7" t="s">
        <v>107</v>
      </c>
      <c r="J51" s="7" t="s">
        <v>156</v>
      </c>
      <c r="K51" s="7" t="s">
        <v>190</v>
      </c>
      <c r="L51" s="7" t="s">
        <v>581</v>
      </c>
      <c r="M51" s="7" t="s">
        <v>111</v>
      </c>
      <c r="N51" s="7" t="s">
        <v>111</v>
      </c>
      <c r="O51" s="7" t="s">
        <v>113</v>
      </c>
      <c r="P51" s="7" t="s">
        <v>113</v>
      </c>
      <c r="Q51" s="7" t="s">
        <v>111</v>
      </c>
      <c r="R51" s="7" t="s">
        <v>111</v>
      </c>
      <c r="S51" s="7" t="s">
        <v>113</v>
      </c>
      <c r="T51" s="7" t="s">
        <v>165</v>
      </c>
      <c r="U51" s="7" t="s">
        <v>582</v>
      </c>
      <c r="V51" s="7" t="s">
        <v>583</v>
      </c>
      <c r="W51" s="7" t="s">
        <v>584</v>
      </c>
      <c r="X51" s="7" t="s">
        <v>585</v>
      </c>
      <c r="Y51" s="7" t="s">
        <v>118</v>
      </c>
      <c r="Z51" s="7" t="s">
        <v>586</v>
      </c>
      <c r="AA51" s="16">
        <v>46293</v>
      </c>
      <c r="AB51" s="7" t="s">
        <v>587</v>
      </c>
      <c r="AC51" s="7" t="s">
        <v>98</v>
      </c>
      <c r="AD51" s="7"/>
      <c r="AE51" s="7" t="s">
        <v>120</v>
      </c>
      <c r="AF51" s="9">
        <v>7</v>
      </c>
      <c r="AG51" s="9">
        <v>7</v>
      </c>
      <c r="AH51" s="9">
        <v>7</v>
      </c>
      <c r="AI51" s="9">
        <v>7</v>
      </c>
      <c r="AJ51" s="9">
        <v>8</v>
      </c>
      <c r="AK51" s="7" t="s">
        <v>607</v>
      </c>
      <c r="AL51" s="10">
        <f>IF(OR(A51="",COUNT(AF51:AJ51)&lt;5),"",ROUND(SUMPRODUCT(AF51:AJ51,Guia!$B$7:$F$7),1))</f>
        <v>7.1</v>
      </c>
      <c r="AM51" s="10"/>
      <c r="AN51" s="10"/>
      <c r="AO51" s="7" t="s">
        <v>122</v>
      </c>
      <c r="AP51" s="7" t="s">
        <v>97</v>
      </c>
      <c r="AQ51" s="7" t="s">
        <v>97</v>
      </c>
      <c r="AR51" s="7" t="s">
        <v>97</v>
      </c>
      <c r="AS51" s="7" t="s">
        <v>97</v>
      </c>
      <c r="AT51" s="7" t="s">
        <v>97</v>
      </c>
      <c r="AU51" s="7" t="s">
        <v>97</v>
      </c>
    </row>
    <row r="52" spans="1:47" ht="32" customHeight="1">
      <c r="A52" s="7" t="s">
        <v>613</v>
      </c>
      <c r="B52" s="7" t="s">
        <v>100</v>
      </c>
      <c r="C52" s="7" t="s">
        <v>614</v>
      </c>
      <c r="D52" s="7" t="s">
        <v>615</v>
      </c>
      <c r="E52" s="7" t="s">
        <v>103</v>
      </c>
      <c r="F52" s="7" t="s">
        <v>616</v>
      </c>
      <c r="G52" s="7" t="s">
        <v>105</v>
      </c>
      <c r="H52" s="7" t="s">
        <v>106</v>
      </c>
      <c r="I52" s="7" t="s">
        <v>107</v>
      </c>
      <c r="J52" s="7" t="s">
        <v>156</v>
      </c>
      <c r="K52" s="7" t="s">
        <v>210</v>
      </c>
      <c r="L52" s="7" t="s">
        <v>617</v>
      </c>
      <c r="M52" s="7" t="s">
        <v>111</v>
      </c>
      <c r="N52" s="7" t="s">
        <v>111</v>
      </c>
      <c r="O52" s="7" t="s">
        <v>111</v>
      </c>
      <c r="P52" s="7" t="s">
        <v>113</v>
      </c>
      <c r="Q52" s="7" t="s">
        <v>111</v>
      </c>
      <c r="R52" s="7" t="s">
        <v>111</v>
      </c>
      <c r="S52" s="7" t="s">
        <v>113</v>
      </c>
      <c r="T52" s="7" t="s">
        <v>165</v>
      </c>
      <c r="U52" s="7" t="s">
        <v>618</v>
      </c>
      <c r="V52" s="7" t="s">
        <v>619</v>
      </c>
      <c r="W52" s="7" t="s">
        <v>620</v>
      </c>
      <c r="X52" s="7" t="s">
        <v>621</v>
      </c>
      <c r="Y52" s="7" t="s">
        <v>118</v>
      </c>
      <c r="Z52" s="7" t="s">
        <v>622</v>
      </c>
      <c r="AA52" s="16">
        <v>46293</v>
      </c>
      <c r="AB52" s="7" t="s">
        <v>623</v>
      </c>
      <c r="AC52" s="7" t="s">
        <v>98</v>
      </c>
      <c r="AD52" s="7"/>
      <c r="AE52" s="7" t="s">
        <v>120</v>
      </c>
      <c r="AF52" s="9">
        <v>8</v>
      </c>
      <c r="AG52" s="9">
        <v>7</v>
      </c>
      <c r="AH52" s="9">
        <v>6</v>
      </c>
      <c r="AI52" s="9">
        <v>7</v>
      </c>
      <c r="AJ52" s="9">
        <v>7</v>
      </c>
      <c r="AK52" s="7" t="s">
        <v>624</v>
      </c>
      <c r="AL52" s="10">
        <f>IF(OR(A52="",COUNT(AF52:AJ52)&lt;5),"",ROUND(SUMPRODUCT(AF52:AJ52,Guia!$B$7:$F$7),1))</f>
        <v>7.1</v>
      </c>
      <c r="AM52" s="10"/>
      <c r="AN52" s="10"/>
      <c r="AO52" s="7" t="s">
        <v>122</v>
      </c>
      <c r="AP52" s="7" t="s">
        <v>97</v>
      </c>
      <c r="AQ52" s="7" t="s">
        <v>97</v>
      </c>
      <c r="AR52" s="7" t="s">
        <v>97</v>
      </c>
      <c r="AS52" s="7" t="s">
        <v>97</v>
      </c>
      <c r="AT52" s="7" t="s">
        <v>97</v>
      </c>
      <c r="AU52" s="7" t="s">
        <v>97</v>
      </c>
    </row>
    <row r="53" spans="1:47" ht="32" customHeight="1">
      <c r="A53" s="7" t="s">
        <v>625</v>
      </c>
      <c r="B53" s="7" t="s">
        <v>100</v>
      </c>
      <c r="C53" s="7" t="s">
        <v>614</v>
      </c>
      <c r="D53" s="7" t="s">
        <v>626</v>
      </c>
      <c r="E53" s="7" t="s">
        <v>125</v>
      </c>
      <c r="F53" s="7" t="s">
        <v>627</v>
      </c>
      <c r="G53" s="7" t="s">
        <v>105</v>
      </c>
      <c r="H53" s="7" t="s">
        <v>106</v>
      </c>
      <c r="I53" s="7" t="s">
        <v>107</v>
      </c>
      <c r="J53" s="7" t="s">
        <v>108</v>
      </c>
      <c r="K53" s="7" t="s">
        <v>210</v>
      </c>
      <c r="L53" s="7" t="s">
        <v>628</v>
      </c>
      <c r="M53" s="7" t="s">
        <v>111</v>
      </c>
      <c r="N53" s="7" t="s">
        <v>113</v>
      </c>
      <c r="O53" s="7" t="s">
        <v>111</v>
      </c>
      <c r="P53" s="7" t="s">
        <v>113</v>
      </c>
      <c r="Q53" s="7" t="s">
        <v>111</v>
      </c>
      <c r="R53" s="7" t="s">
        <v>112</v>
      </c>
      <c r="S53" s="7" t="s">
        <v>113</v>
      </c>
      <c r="T53" s="7" t="s">
        <v>165</v>
      </c>
      <c r="U53" s="7" t="s">
        <v>629</v>
      </c>
      <c r="V53" s="7" t="s">
        <v>630</v>
      </c>
      <c r="W53" s="7" t="s">
        <v>631</v>
      </c>
      <c r="X53" s="7" t="s">
        <v>632</v>
      </c>
      <c r="Y53" s="7" t="s">
        <v>118</v>
      </c>
      <c r="Z53" s="7" t="s">
        <v>633</v>
      </c>
      <c r="AA53" s="16">
        <v>46293</v>
      </c>
      <c r="AB53" s="7" t="s">
        <v>634</v>
      </c>
      <c r="AC53" s="7" t="s">
        <v>98</v>
      </c>
      <c r="AD53" s="7"/>
      <c r="AE53" s="7" t="s">
        <v>120</v>
      </c>
      <c r="AF53" s="9">
        <v>8</v>
      </c>
      <c r="AG53" s="9">
        <v>7</v>
      </c>
      <c r="AH53" s="9">
        <v>7</v>
      </c>
      <c r="AI53" s="9">
        <v>7</v>
      </c>
      <c r="AJ53" s="9">
        <v>7</v>
      </c>
      <c r="AK53" s="7" t="s">
        <v>635</v>
      </c>
      <c r="AL53" s="10">
        <f>IF(OR(A53="",COUNT(AF53:AJ53)&lt;5),"",ROUND(SUMPRODUCT(AF53:AJ53,Guia!$B$7:$F$7),1))</f>
        <v>7.3</v>
      </c>
      <c r="AM53" s="10"/>
      <c r="AN53" s="10"/>
      <c r="AO53" s="7" t="s">
        <v>122</v>
      </c>
      <c r="AP53" s="7" t="s">
        <v>97</v>
      </c>
      <c r="AQ53" s="7" t="s">
        <v>97</v>
      </c>
      <c r="AR53" s="7" t="s">
        <v>97</v>
      </c>
      <c r="AS53" s="7" t="s">
        <v>97</v>
      </c>
      <c r="AT53" s="7" t="s">
        <v>97</v>
      </c>
      <c r="AU53" s="7" t="s">
        <v>97</v>
      </c>
    </row>
    <row r="54" spans="1:47" ht="32" customHeight="1">
      <c r="A54" s="7" t="s">
        <v>636</v>
      </c>
      <c r="B54" s="7" t="s">
        <v>100</v>
      </c>
      <c r="C54" s="7" t="s">
        <v>614</v>
      </c>
      <c r="D54" s="7" t="s">
        <v>637</v>
      </c>
      <c r="E54" s="7" t="s">
        <v>125</v>
      </c>
      <c r="F54" s="7" t="s">
        <v>638</v>
      </c>
      <c r="G54" s="7" t="s">
        <v>105</v>
      </c>
      <c r="H54" s="7" t="s">
        <v>106</v>
      </c>
      <c r="I54" s="7" t="s">
        <v>107</v>
      </c>
      <c r="J54" s="7" t="s">
        <v>108</v>
      </c>
      <c r="K54" s="7" t="s">
        <v>639</v>
      </c>
      <c r="L54" s="7"/>
      <c r="M54" s="7" t="s">
        <v>111</v>
      </c>
      <c r="N54" s="7" t="s">
        <v>113</v>
      </c>
      <c r="O54" s="7" t="s">
        <v>111</v>
      </c>
      <c r="P54" s="7" t="s">
        <v>113</v>
      </c>
      <c r="Q54" s="7" t="s">
        <v>111</v>
      </c>
      <c r="R54" s="7" t="s">
        <v>111</v>
      </c>
      <c r="S54" s="7" t="s">
        <v>113</v>
      </c>
      <c r="T54" s="7" t="s">
        <v>165</v>
      </c>
      <c r="U54" s="7" t="s">
        <v>640</v>
      </c>
      <c r="V54" s="7" t="s">
        <v>641</v>
      </c>
      <c r="W54" s="7" t="s">
        <v>642</v>
      </c>
      <c r="X54" s="7" t="s">
        <v>643</v>
      </c>
      <c r="Y54" s="7" t="s">
        <v>118</v>
      </c>
      <c r="Z54" s="7" t="s">
        <v>644</v>
      </c>
      <c r="AA54" s="16">
        <v>46293</v>
      </c>
      <c r="AB54" s="7" t="s">
        <v>645</v>
      </c>
      <c r="AC54" s="7" t="s">
        <v>98</v>
      </c>
      <c r="AD54" s="7"/>
      <c r="AE54" s="7" t="s">
        <v>120</v>
      </c>
      <c r="AF54" s="9">
        <v>8</v>
      </c>
      <c r="AG54" s="9">
        <v>7</v>
      </c>
      <c r="AH54" s="9">
        <v>6</v>
      </c>
      <c r="AI54" s="9">
        <v>7</v>
      </c>
      <c r="AJ54" s="9">
        <v>7</v>
      </c>
      <c r="AK54" s="7" t="s">
        <v>646</v>
      </c>
      <c r="AL54" s="10">
        <f>IF(OR(A54="",COUNT(AF54:AJ54)&lt;5),"",ROUND(SUMPRODUCT(AF54:AJ54,Guia!$B$7:$F$7),1))</f>
        <v>7.1</v>
      </c>
      <c r="AM54" s="10"/>
      <c r="AN54" s="10"/>
      <c r="AO54" s="7" t="s">
        <v>122</v>
      </c>
      <c r="AP54" s="7" t="s">
        <v>97</v>
      </c>
      <c r="AQ54" s="7" t="s">
        <v>97</v>
      </c>
      <c r="AR54" s="7" t="s">
        <v>97</v>
      </c>
      <c r="AS54" s="7" t="s">
        <v>97</v>
      </c>
      <c r="AT54" s="7" t="s">
        <v>97</v>
      </c>
      <c r="AU54" s="7" t="s">
        <v>97</v>
      </c>
    </row>
    <row r="55" spans="1:47" ht="32" customHeight="1">
      <c r="A55" s="7" t="s">
        <v>647</v>
      </c>
      <c r="B55" s="7" t="s">
        <v>100</v>
      </c>
      <c r="C55" s="7" t="s">
        <v>614</v>
      </c>
      <c r="D55" s="7" t="s">
        <v>648</v>
      </c>
      <c r="E55" s="7" t="s">
        <v>103</v>
      </c>
      <c r="F55" s="7" t="s">
        <v>649</v>
      </c>
      <c r="G55" s="7" t="s">
        <v>105</v>
      </c>
      <c r="H55" s="7" t="s">
        <v>106</v>
      </c>
      <c r="I55" s="7" t="s">
        <v>107</v>
      </c>
      <c r="J55" s="7" t="s">
        <v>108</v>
      </c>
      <c r="K55" s="7" t="s">
        <v>210</v>
      </c>
      <c r="L55" s="7" t="s">
        <v>650</v>
      </c>
      <c r="M55" s="7" t="s">
        <v>111</v>
      </c>
      <c r="N55" s="7" t="s">
        <v>111</v>
      </c>
      <c r="O55" s="7" t="s">
        <v>111</v>
      </c>
      <c r="P55" s="7" t="s">
        <v>113</v>
      </c>
      <c r="Q55" s="7" t="s">
        <v>111</v>
      </c>
      <c r="R55" s="7" t="s">
        <v>111</v>
      </c>
      <c r="S55" s="7" t="s">
        <v>113</v>
      </c>
      <c r="T55" s="7" t="s">
        <v>122</v>
      </c>
      <c r="U55" s="7" t="s">
        <v>651</v>
      </c>
      <c r="V55" s="7" t="s">
        <v>652</v>
      </c>
      <c r="W55" s="7" t="s">
        <v>653</v>
      </c>
      <c r="X55" s="7" t="s">
        <v>654</v>
      </c>
      <c r="Y55" s="7" t="s">
        <v>118</v>
      </c>
      <c r="Z55" s="7" t="s">
        <v>655</v>
      </c>
      <c r="AA55" s="16">
        <v>46293</v>
      </c>
      <c r="AB55" s="7" t="s">
        <v>656</v>
      </c>
      <c r="AC55" s="7" t="s">
        <v>98</v>
      </c>
      <c r="AD55" s="7"/>
      <c r="AE55" s="7" t="s">
        <v>120</v>
      </c>
      <c r="AF55" s="9">
        <v>8</v>
      </c>
      <c r="AG55" s="9">
        <v>7</v>
      </c>
      <c r="AH55" s="9">
        <v>6</v>
      </c>
      <c r="AI55" s="9">
        <v>7</v>
      </c>
      <c r="AJ55" s="9">
        <v>7</v>
      </c>
      <c r="AK55" s="7" t="s">
        <v>657</v>
      </c>
      <c r="AL55" s="10">
        <f>IF(OR(A55="",COUNT(AF55:AJ55)&lt;5),"",ROUND(SUMPRODUCT(AF55:AJ55,Guia!$B$7:$F$7),1))</f>
        <v>7.1</v>
      </c>
      <c r="AM55" s="10"/>
      <c r="AN55" s="10"/>
      <c r="AO55" s="7" t="s">
        <v>122</v>
      </c>
      <c r="AP55" s="7" t="s">
        <v>97</v>
      </c>
      <c r="AQ55" s="7" t="s">
        <v>97</v>
      </c>
      <c r="AR55" s="7" t="s">
        <v>97</v>
      </c>
      <c r="AS55" s="7" t="s">
        <v>97</v>
      </c>
      <c r="AT55" s="7" t="s">
        <v>97</v>
      </c>
      <c r="AU55" s="7" t="s">
        <v>97</v>
      </c>
    </row>
    <row r="56" spans="1:47" ht="32" customHeight="1">
      <c r="A56" s="7" t="s">
        <v>658</v>
      </c>
      <c r="B56" s="7" t="s">
        <v>100</v>
      </c>
      <c r="C56" s="7" t="s">
        <v>614</v>
      </c>
      <c r="D56" s="7" t="s">
        <v>659</v>
      </c>
      <c r="E56" s="7" t="s">
        <v>125</v>
      </c>
      <c r="F56" s="7" t="s">
        <v>660</v>
      </c>
      <c r="G56" s="7" t="s">
        <v>105</v>
      </c>
      <c r="H56" s="7" t="s">
        <v>106</v>
      </c>
      <c r="I56" s="7" t="s">
        <v>107</v>
      </c>
      <c r="J56" s="7" t="s">
        <v>108</v>
      </c>
      <c r="K56" s="7" t="s">
        <v>210</v>
      </c>
      <c r="L56" s="7" t="s">
        <v>661</v>
      </c>
      <c r="M56" s="7" t="s">
        <v>111</v>
      </c>
      <c r="N56" s="7" t="s">
        <v>113</v>
      </c>
      <c r="O56" s="7" t="s">
        <v>111</v>
      </c>
      <c r="P56" s="7" t="s">
        <v>113</v>
      </c>
      <c r="Q56" s="7" t="s">
        <v>111</v>
      </c>
      <c r="R56" s="7" t="s">
        <v>111</v>
      </c>
      <c r="S56" s="7" t="s">
        <v>113</v>
      </c>
      <c r="T56" s="7" t="s">
        <v>165</v>
      </c>
      <c r="U56" s="7" t="s">
        <v>773</v>
      </c>
      <c r="V56" s="7" t="s">
        <v>662</v>
      </c>
      <c r="W56" s="7" t="s">
        <v>774</v>
      </c>
      <c r="X56" s="7" t="s">
        <v>663</v>
      </c>
      <c r="Y56" s="7" t="s">
        <v>162</v>
      </c>
      <c r="Z56" s="7" t="s">
        <v>775</v>
      </c>
      <c r="AA56" s="16">
        <v>46293</v>
      </c>
      <c r="AB56" s="7" t="s">
        <v>664</v>
      </c>
      <c r="AC56" s="7" t="s">
        <v>257</v>
      </c>
      <c r="AD56" s="7"/>
      <c r="AE56" s="7" t="s">
        <v>259</v>
      </c>
      <c r="AF56" s="9">
        <v>8</v>
      </c>
      <c r="AG56" s="9">
        <v>8</v>
      </c>
      <c r="AH56" s="9">
        <v>7</v>
      </c>
      <c r="AI56" s="9">
        <v>7</v>
      </c>
      <c r="AJ56" s="9">
        <v>7</v>
      </c>
      <c r="AK56" s="7" t="s">
        <v>665</v>
      </c>
      <c r="AL56" s="10">
        <f>IF(OR(A56="",COUNT(AF56:AJ56)&lt;5),"",ROUND(SUMPRODUCT(AF56:AJ56,Guia!$B$7:$F$7),1))</f>
        <v>7.6</v>
      </c>
      <c r="AM56" s="10"/>
      <c r="AN56" s="10"/>
      <c r="AO56" s="7" t="s">
        <v>122</v>
      </c>
      <c r="AP56" s="7" t="s">
        <v>122</v>
      </c>
      <c r="AQ56" s="7" t="s">
        <v>122</v>
      </c>
      <c r="AR56" s="7" t="s">
        <v>122</v>
      </c>
      <c r="AS56" s="7" t="s">
        <v>97</v>
      </c>
      <c r="AT56" s="7" t="s">
        <v>97</v>
      </c>
      <c r="AU56" s="7" t="s">
        <v>97</v>
      </c>
    </row>
    <row r="57" spans="1:47" ht="32" customHeight="1">
      <c r="A57" s="7" t="s">
        <v>670</v>
      </c>
      <c r="B57" s="7" t="s">
        <v>100</v>
      </c>
      <c r="C57" s="7" t="s">
        <v>671</v>
      </c>
      <c r="D57" s="7" t="s">
        <v>672</v>
      </c>
      <c r="E57" s="7" t="s">
        <v>297</v>
      </c>
      <c r="F57" s="7" t="s">
        <v>673</v>
      </c>
      <c r="G57" s="7" t="s">
        <v>105</v>
      </c>
      <c r="H57" s="7" t="s">
        <v>674</v>
      </c>
      <c r="I57" s="7" t="s">
        <v>107</v>
      </c>
      <c r="J57" s="7" t="s">
        <v>156</v>
      </c>
      <c r="K57" s="7" t="s">
        <v>210</v>
      </c>
      <c r="L57" s="7" t="s">
        <v>675</v>
      </c>
      <c r="M57" s="7" t="s">
        <v>111</v>
      </c>
      <c r="N57" s="7" t="s">
        <v>111</v>
      </c>
      <c r="O57" s="7" t="s">
        <v>111</v>
      </c>
      <c r="P57" s="7" t="s">
        <v>113</v>
      </c>
      <c r="Q57" s="7" t="s">
        <v>111</v>
      </c>
      <c r="R57" s="7" t="s">
        <v>111</v>
      </c>
      <c r="S57" s="7" t="s">
        <v>113</v>
      </c>
      <c r="T57" s="7" t="s">
        <v>165</v>
      </c>
      <c r="U57" s="7" t="s">
        <v>676</v>
      </c>
      <c r="V57" s="7" t="s">
        <v>677</v>
      </c>
      <c r="W57" s="7" t="s">
        <v>678</v>
      </c>
      <c r="X57" s="7" t="s">
        <v>679</v>
      </c>
      <c r="Y57" s="7" t="s">
        <v>118</v>
      </c>
      <c r="Z57" s="7" t="s">
        <v>680</v>
      </c>
      <c r="AA57" s="16">
        <v>46293</v>
      </c>
      <c r="AB57" s="7" t="s">
        <v>681</v>
      </c>
      <c r="AC57" s="7" t="s">
        <v>98</v>
      </c>
      <c r="AD57" s="7"/>
      <c r="AE57" s="7" t="s">
        <v>120</v>
      </c>
      <c r="AF57" s="9">
        <v>8</v>
      </c>
      <c r="AG57" s="9">
        <v>7</v>
      </c>
      <c r="AH57" s="9">
        <v>6</v>
      </c>
      <c r="AI57" s="9">
        <v>7</v>
      </c>
      <c r="AJ57" s="9">
        <v>7</v>
      </c>
      <c r="AK57" s="7" t="s">
        <v>682</v>
      </c>
      <c r="AL57" s="10">
        <f>IF(OR(A57="",COUNT(AF57:AJ57)&lt;5),"",ROUND(SUMPRODUCT(AF57:AJ57,Guia!$B$7:$F$7),1))</f>
        <v>7.1</v>
      </c>
      <c r="AM57" s="10"/>
      <c r="AN57" s="10"/>
      <c r="AO57" s="7" t="s">
        <v>122</v>
      </c>
      <c r="AP57" s="7" t="s">
        <v>97</v>
      </c>
      <c r="AQ57" s="7" t="s">
        <v>97</v>
      </c>
      <c r="AR57" s="7" t="s">
        <v>97</v>
      </c>
      <c r="AS57" s="7" t="s">
        <v>97</v>
      </c>
      <c r="AT57" s="7" t="s">
        <v>97</v>
      </c>
      <c r="AU57" s="7" t="s">
        <v>97</v>
      </c>
    </row>
    <row r="58" spans="1:47" ht="32" customHeight="1">
      <c r="A58" s="7" t="s">
        <v>683</v>
      </c>
      <c r="B58" s="7" t="s">
        <v>100</v>
      </c>
      <c r="C58" s="7" t="s">
        <v>671</v>
      </c>
      <c r="D58" s="7" t="s">
        <v>684</v>
      </c>
      <c r="E58" s="7" t="s">
        <v>103</v>
      </c>
      <c r="F58" s="7" t="s">
        <v>685</v>
      </c>
      <c r="G58" s="7" t="s">
        <v>105</v>
      </c>
      <c r="H58" s="7" t="s">
        <v>674</v>
      </c>
      <c r="I58" s="7" t="s">
        <v>107</v>
      </c>
      <c r="J58" s="7" t="s">
        <v>108</v>
      </c>
      <c r="K58" s="7" t="s">
        <v>109</v>
      </c>
      <c r="L58" s="7" t="s">
        <v>686</v>
      </c>
      <c r="M58" s="7" t="s">
        <v>111</v>
      </c>
      <c r="N58" s="7" t="s">
        <v>111</v>
      </c>
      <c r="O58" s="7" t="s">
        <v>112</v>
      </c>
      <c r="P58" s="7" t="s">
        <v>113</v>
      </c>
      <c r="Q58" s="7" t="s">
        <v>111</v>
      </c>
      <c r="R58" s="7" t="s">
        <v>111</v>
      </c>
      <c r="S58" s="7" t="s">
        <v>113</v>
      </c>
      <c r="T58" s="7" t="s">
        <v>165</v>
      </c>
      <c r="U58" s="7" t="s">
        <v>687</v>
      </c>
      <c r="V58" s="7" t="s">
        <v>688</v>
      </c>
      <c r="W58" s="7" t="s">
        <v>689</v>
      </c>
      <c r="X58" s="7" t="s">
        <v>690</v>
      </c>
      <c r="Y58" s="7" t="s">
        <v>118</v>
      </c>
      <c r="Z58" s="7" t="s">
        <v>691</v>
      </c>
      <c r="AA58" s="16">
        <v>46293</v>
      </c>
      <c r="AB58" s="7" t="s">
        <v>692</v>
      </c>
      <c r="AC58" s="7" t="s">
        <v>98</v>
      </c>
      <c r="AD58" s="7"/>
      <c r="AE58" s="7" t="s">
        <v>120</v>
      </c>
      <c r="AF58" s="9">
        <v>6</v>
      </c>
      <c r="AG58" s="9">
        <v>5</v>
      </c>
      <c r="AH58" s="9">
        <v>5</v>
      </c>
      <c r="AI58" s="9">
        <v>6</v>
      </c>
      <c r="AJ58" s="9">
        <v>7</v>
      </c>
      <c r="AK58" s="7" t="s">
        <v>693</v>
      </c>
      <c r="AL58" s="10">
        <f>IF(OR(A58="",COUNT(AF58:AJ58)&lt;5),"",ROUND(SUMPRODUCT(AF58:AJ58,Guia!$B$7:$F$7),1))</f>
        <v>5.7</v>
      </c>
      <c r="AM58" s="10"/>
      <c r="AN58" s="10"/>
      <c r="AO58" s="7" t="s">
        <v>122</v>
      </c>
      <c r="AP58" s="7" t="s">
        <v>97</v>
      </c>
      <c r="AQ58" s="7" t="s">
        <v>97</v>
      </c>
      <c r="AR58" s="7" t="s">
        <v>97</v>
      </c>
      <c r="AS58" s="7" t="s">
        <v>97</v>
      </c>
      <c r="AT58" s="7" t="s">
        <v>97</v>
      </c>
      <c r="AU58" s="7" t="s">
        <v>97</v>
      </c>
    </row>
    <row r="59" spans="1:47" ht="32" customHeight="1">
      <c r="A59" s="7" t="s">
        <v>694</v>
      </c>
      <c r="B59" s="7" t="s">
        <v>100</v>
      </c>
      <c r="C59" s="7" t="s">
        <v>671</v>
      </c>
      <c r="D59" s="7" t="s">
        <v>695</v>
      </c>
      <c r="E59" s="7" t="s">
        <v>103</v>
      </c>
      <c r="F59" s="7" t="s">
        <v>696</v>
      </c>
      <c r="G59" s="7" t="s">
        <v>105</v>
      </c>
      <c r="H59" s="7" t="s">
        <v>444</v>
      </c>
      <c r="I59" s="7" t="s">
        <v>107</v>
      </c>
      <c r="J59" s="7" t="s">
        <v>108</v>
      </c>
      <c r="K59" s="7" t="s">
        <v>109</v>
      </c>
      <c r="L59" s="7" t="s">
        <v>697</v>
      </c>
      <c r="M59" s="7" t="s">
        <v>122</v>
      </c>
      <c r="N59" s="7" t="s">
        <v>112</v>
      </c>
      <c r="O59" s="7" t="s">
        <v>113</v>
      </c>
      <c r="P59" s="7" t="s">
        <v>113</v>
      </c>
      <c r="Q59" s="7" t="s">
        <v>111</v>
      </c>
      <c r="R59" s="7" t="s">
        <v>111</v>
      </c>
      <c r="S59" s="7" t="s">
        <v>113</v>
      </c>
      <c r="T59" s="7" t="s">
        <v>165</v>
      </c>
      <c r="U59" s="7" t="s">
        <v>698</v>
      </c>
      <c r="V59" s="7" t="s">
        <v>699</v>
      </c>
      <c r="W59" s="7" t="s">
        <v>700</v>
      </c>
      <c r="X59" s="17" t="s">
        <v>204</v>
      </c>
      <c r="Y59" s="7" t="s">
        <v>150</v>
      </c>
      <c r="Z59" s="7" t="s">
        <v>697</v>
      </c>
      <c r="AA59" s="16">
        <v>46293</v>
      </c>
      <c r="AB59" s="7" t="s">
        <v>701</v>
      </c>
      <c r="AC59" s="7" t="s">
        <v>98</v>
      </c>
      <c r="AD59" s="7"/>
      <c r="AE59" s="7" t="s">
        <v>120</v>
      </c>
      <c r="AF59" s="9">
        <v>4</v>
      </c>
      <c r="AG59" s="9">
        <v>3</v>
      </c>
      <c r="AH59" s="9">
        <v>6</v>
      </c>
      <c r="AI59" s="9">
        <v>5</v>
      </c>
      <c r="AJ59" s="9">
        <v>8</v>
      </c>
      <c r="AK59" s="7" t="s">
        <v>702</v>
      </c>
      <c r="AL59" s="10">
        <f>IF(OR(A59="",COUNT(AF59:AJ59)&lt;5),"",ROUND(SUMPRODUCT(AF59:AJ59,Guia!$B$7:$F$7),1))</f>
        <v>4.5999999999999996</v>
      </c>
      <c r="AM59" s="10"/>
      <c r="AN59" s="10"/>
      <c r="AO59" s="7" t="s">
        <v>122</v>
      </c>
      <c r="AP59" s="7" t="s">
        <v>97</v>
      </c>
      <c r="AQ59" s="7" t="s">
        <v>97</v>
      </c>
      <c r="AR59" s="7" t="s">
        <v>97</v>
      </c>
      <c r="AS59" s="7" t="s">
        <v>97</v>
      </c>
      <c r="AT59" s="7" t="s">
        <v>97</v>
      </c>
      <c r="AU59" s="7" t="s">
        <v>97</v>
      </c>
    </row>
    <row r="60" spans="1:47" ht="32" customHeight="1">
      <c r="A60" s="7" t="s">
        <v>703</v>
      </c>
      <c r="B60" s="7" t="s">
        <v>100</v>
      </c>
      <c r="C60" s="7" t="s">
        <v>671</v>
      </c>
      <c r="D60" s="7" t="s">
        <v>704</v>
      </c>
      <c r="E60" s="7" t="s">
        <v>125</v>
      </c>
      <c r="F60" s="7" t="s">
        <v>705</v>
      </c>
      <c r="G60" s="7" t="s">
        <v>105</v>
      </c>
      <c r="H60" s="7" t="s">
        <v>444</v>
      </c>
      <c r="I60" s="7" t="s">
        <v>107</v>
      </c>
      <c r="J60" s="7" t="s">
        <v>108</v>
      </c>
      <c r="K60" s="7" t="s">
        <v>109</v>
      </c>
      <c r="L60" s="7" t="s">
        <v>706</v>
      </c>
      <c r="M60" s="7" t="s">
        <v>122</v>
      </c>
      <c r="N60" s="7" t="s">
        <v>112</v>
      </c>
      <c r="O60" s="7" t="s">
        <v>111</v>
      </c>
      <c r="P60" s="7" t="s">
        <v>113</v>
      </c>
      <c r="Q60" s="7" t="s">
        <v>111</v>
      </c>
      <c r="R60" s="7" t="s">
        <v>112</v>
      </c>
      <c r="S60" s="7" t="s">
        <v>113</v>
      </c>
      <c r="T60" s="7" t="s">
        <v>165</v>
      </c>
      <c r="U60" s="7" t="s">
        <v>707</v>
      </c>
      <c r="V60" s="7" t="s">
        <v>708</v>
      </c>
      <c r="W60" s="7" t="s">
        <v>709</v>
      </c>
      <c r="X60" s="17" t="s">
        <v>204</v>
      </c>
      <c r="Y60" s="7" t="s">
        <v>150</v>
      </c>
      <c r="Z60" s="7" t="s">
        <v>706</v>
      </c>
      <c r="AA60" s="16">
        <v>46293</v>
      </c>
      <c r="AB60" s="7" t="s">
        <v>710</v>
      </c>
      <c r="AC60" s="7" t="s">
        <v>98</v>
      </c>
      <c r="AD60" s="7"/>
      <c r="AE60" s="7" t="s">
        <v>120</v>
      </c>
      <c r="AF60" s="9">
        <v>3</v>
      </c>
      <c r="AG60" s="9">
        <v>3</v>
      </c>
      <c r="AH60" s="9">
        <v>7</v>
      </c>
      <c r="AI60" s="9">
        <v>6</v>
      </c>
      <c r="AJ60" s="9">
        <v>8</v>
      </c>
      <c r="AK60" s="7" t="s">
        <v>711</v>
      </c>
      <c r="AL60" s="10">
        <f>IF(OR(A60="",COUNT(AF60:AJ60)&lt;5),"",ROUND(SUMPRODUCT(AF60:AJ60,Guia!$B$7:$F$7),1))</f>
        <v>4.7</v>
      </c>
      <c r="AM60" s="10"/>
      <c r="AN60" s="10"/>
      <c r="AO60" s="7" t="s">
        <v>122</v>
      </c>
      <c r="AP60" s="7" t="s">
        <v>97</v>
      </c>
      <c r="AQ60" s="7" t="s">
        <v>97</v>
      </c>
      <c r="AR60" s="7" t="s">
        <v>97</v>
      </c>
      <c r="AS60" s="7" t="s">
        <v>97</v>
      </c>
      <c r="AT60" s="7" t="s">
        <v>97</v>
      </c>
      <c r="AU60" s="7" t="s">
        <v>97</v>
      </c>
    </row>
    <row r="61" spans="1:47" ht="32" customHeight="1">
      <c r="A61" s="7" t="s">
        <v>712</v>
      </c>
      <c r="B61" s="7" t="s">
        <v>100</v>
      </c>
      <c r="C61" s="7" t="s">
        <v>671</v>
      </c>
      <c r="D61" s="7" t="s">
        <v>713</v>
      </c>
      <c r="E61" s="7" t="s">
        <v>103</v>
      </c>
      <c r="F61" s="7" t="s">
        <v>714</v>
      </c>
      <c r="G61" s="7" t="s">
        <v>105</v>
      </c>
      <c r="H61" s="7" t="s">
        <v>674</v>
      </c>
      <c r="I61" s="7" t="s">
        <v>107</v>
      </c>
      <c r="J61" s="7" t="s">
        <v>108</v>
      </c>
      <c r="K61" s="7" t="s">
        <v>109</v>
      </c>
      <c r="L61" s="7" t="s">
        <v>715</v>
      </c>
      <c r="M61" s="7" t="s">
        <v>122</v>
      </c>
      <c r="N61" s="7" t="s">
        <v>122</v>
      </c>
      <c r="O61" s="7" t="s">
        <v>113</v>
      </c>
      <c r="P61" s="7" t="s">
        <v>113</v>
      </c>
      <c r="Q61" s="7" t="s">
        <v>111</v>
      </c>
      <c r="R61" s="7" t="s">
        <v>111</v>
      </c>
      <c r="S61" s="7" t="s">
        <v>113</v>
      </c>
      <c r="T61" s="7" t="s">
        <v>165</v>
      </c>
      <c r="U61" s="7" t="s">
        <v>716</v>
      </c>
      <c r="V61" s="7" t="s">
        <v>717</v>
      </c>
      <c r="W61" s="7" t="s">
        <v>718</v>
      </c>
      <c r="X61" s="17" t="s">
        <v>204</v>
      </c>
      <c r="Y61" s="7" t="s">
        <v>150</v>
      </c>
      <c r="Z61" s="7" t="s">
        <v>715</v>
      </c>
      <c r="AA61" s="16">
        <v>46293</v>
      </c>
      <c r="AB61" s="7" t="s">
        <v>719</v>
      </c>
      <c r="AC61" s="7" t="s">
        <v>98</v>
      </c>
      <c r="AD61" s="7"/>
      <c r="AE61" s="7" t="s">
        <v>120</v>
      </c>
      <c r="AF61" s="9">
        <v>3</v>
      </c>
      <c r="AG61" s="9">
        <v>3</v>
      </c>
      <c r="AH61" s="9">
        <v>7</v>
      </c>
      <c r="AI61" s="9">
        <v>5</v>
      </c>
      <c r="AJ61" s="9">
        <v>8</v>
      </c>
      <c r="AK61" s="7" t="s">
        <v>720</v>
      </c>
      <c r="AL61" s="10">
        <f>IF(OR(A61="",COUNT(AF61:AJ61)&lt;5),"",ROUND(SUMPRODUCT(AF61:AJ61,Guia!$B$7:$F$7),1))</f>
        <v>4.5</v>
      </c>
      <c r="AM61" s="10"/>
      <c r="AN61" s="10"/>
      <c r="AO61" s="7" t="s">
        <v>122</v>
      </c>
      <c r="AP61" s="7" t="s">
        <v>97</v>
      </c>
      <c r="AQ61" s="7" t="s">
        <v>97</v>
      </c>
      <c r="AR61" s="7" t="s">
        <v>97</v>
      </c>
      <c r="AS61" s="7" t="s">
        <v>97</v>
      </c>
      <c r="AT61" s="7" t="s">
        <v>97</v>
      </c>
      <c r="AU61" s="7" t="s">
        <v>97</v>
      </c>
    </row>
    <row r="62" spans="1:47" ht="32" customHeight="1">
      <c r="A62" s="7" t="s">
        <v>721</v>
      </c>
      <c r="B62" s="7" t="s">
        <v>100</v>
      </c>
      <c r="C62" s="7" t="s">
        <v>722</v>
      </c>
      <c r="D62" s="7" t="s">
        <v>723</v>
      </c>
      <c r="E62" s="7" t="s">
        <v>125</v>
      </c>
      <c r="F62" s="7" t="s">
        <v>724</v>
      </c>
      <c r="G62" s="7" t="s">
        <v>105</v>
      </c>
      <c r="H62" s="7" t="s">
        <v>106</v>
      </c>
      <c r="I62" s="7" t="s">
        <v>107</v>
      </c>
      <c r="J62" s="7" t="s">
        <v>108</v>
      </c>
      <c r="K62" s="7" t="s">
        <v>109</v>
      </c>
      <c r="L62" s="7" t="s">
        <v>725</v>
      </c>
      <c r="M62" s="7" t="s">
        <v>122</v>
      </c>
      <c r="N62" s="7" t="s">
        <v>111</v>
      </c>
      <c r="O62" s="7" t="s">
        <v>113</v>
      </c>
      <c r="P62" s="7" t="s">
        <v>113</v>
      </c>
      <c r="Q62" s="7" t="s">
        <v>111</v>
      </c>
      <c r="R62" s="7" t="s">
        <v>112</v>
      </c>
      <c r="S62" s="7" t="s">
        <v>113</v>
      </c>
      <c r="T62" s="7" t="s">
        <v>165</v>
      </c>
      <c r="U62" s="7" t="s">
        <v>726</v>
      </c>
      <c r="V62" s="7" t="s">
        <v>727</v>
      </c>
      <c r="W62" s="7" t="s">
        <v>728</v>
      </c>
      <c r="X62" s="7"/>
      <c r="Y62" s="7" t="s">
        <v>150</v>
      </c>
      <c r="Z62" s="7" t="s">
        <v>729</v>
      </c>
      <c r="AA62" s="16">
        <v>46293</v>
      </c>
      <c r="AB62" s="7" t="s">
        <v>730</v>
      </c>
      <c r="AC62" s="7" t="s">
        <v>98</v>
      </c>
      <c r="AD62" s="7"/>
      <c r="AE62" s="7" t="s">
        <v>120</v>
      </c>
      <c r="AF62" s="9">
        <v>3</v>
      </c>
      <c r="AG62" s="9">
        <v>3</v>
      </c>
      <c r="AH62" s="9">
        <v>8</v>
      </c>
      <c r="AI62" s="9">
        <v>6</v>
      </c>
      <c r="AJ62" s="9">
        <v>7</v>
      </c>
      <c r="AK62" s="7" t="s">
        <v>731</v>
      </c>
      <c r="AL62" s="10">
        <f>IF(OR(A62="",COUNT(AF62:AJ62)&lt;5),"",ROUND(SUMPRODUCT(AF62:AJ62,Guia!$B$7:$F$7),1))</f>
        <v>4.8</v>
      </c>
      <c r="AM62" s="10"/>
      <c r="AN62" s="10"/>
      <c r="AO62" s="7" t="s">
        <v>122</v>
      </c>
      <c r="AP62" s="7" t="s">
        <v>97</v>
      </c>
      <c r="AQ62" s="7" t="s">
        <v>97</v>
      </c>
      <c r="AR62" s="7" t="s">
        <v>97</v>
      </c>
      <c r="AS62" s="7" t="s">
        <v>97</v>
      </c>
      <c r="AT62" s="7" t="s">
        <v>97</v>
      </c>
      <c r="AU62" s="7" t="s">
        <v>97</v>
      </c>
    </row>
    <row r="63" spans="1:47" ht="32" customHeight="1">
      <c r="A63" s="7" t="s">
        <v>732</v>
      </c>
      <c r="B63" s="7" t="s">
        <v>100</v>
      </c>
      <c r="C63" s="7" t="s">
        <v>722</v>
      </c>
      <c r="D63" s="7" t="s">
        <v>733</v>
      </c>
      <c r="E63" s="7" t="s">
        <v>103</v>
      </c>
      <c r="F63" s="7" t="s">
        <v>734</v>
      </c>
      <c r="G63" s="7" t="s">
        <v>105</v>
      </c>
      <c r="H63" s="7" t="s">
        <v>106</v>
      </c>
      <c r="I63" s="7" t="s">
        <v>107</v>
      </c>
      <c r="J63" s="7" t="s">
        <v>108</v>
      </c>
      <c r="K63" s="7" t="s">
        <v>109</v>
      </c>
      <c r="L63" s="7" t="s">
        <v>735</v>
      </c>
      <c r="M63" s="7" t="s">
        <v>122</v>
      </c>
      <c r="N63" s="7" t="s">
        <v>122</v>
      </c>
      <c r="O63" s="7" t="s">
        <v>111</v>
      </c>
      <c r="P63" s="7" t="s">
        <v>113</v>
      </c>
      <c r="Q63" s="7" t="s">
        <v>111</v>
      </c>
      <c r="R63" s="7" t="s">
        <v>112</v>
      </c>
      <c r="S63" s="7" t="s">
        <v>113</v>
      </c>
      <c r="T63" s="7" t="s">
        <v>165</v>
      </c>
      <c r="U63" s="7" t="s">
        <v>736</v>
      </c>
      <c r="V63" s="7" t="s">
        <v>737</v>
      </c>
      <c r="W63" s="7" t="s">
        <v>738</v>
      </c>
      <c r="X63" s="7"/>
      <c r="Y63" s="7" t="s">
        <v>150</v>
      </c>
      <c r="Z63" s="7" t="s">
        <v>739</v>
      </c>
      <c r="AA63" s="16">
        <v>46293</v>
      </c>
      <c r="AB63" s="7" t="s">
        <v>740</v>
      </c>
      <c r="AC63" s="7" t="s">
        <v>98</v>
      </c>
      <c r="AD63" s="7"/>
      <c r="AE63" s="7" t="s">
        <v>120</v>
      </c>
      <c r="AF63" s="9">
        <v>2</v>
      </c>
      <c r="AG63" s="9">
        <v>2</v>
      </c>
      <c r="AH63" s="9">
        <v>9</v>
      </c>
      <c r="AI63" s="9">
        <v>5</v>
      </c>
      <c r="AJ63" s="9">
        <v>8</v>
      </c>
      <c r="AK63" s="7" t="s">
        <v>741</v>
      </c>
      <c r="AL63" s="10">
        <f>IF(OR(A63="",COUNT(AF63:AJ63)&lt;5),"",ROUND(SUMPRODUCT(AF63:AJ63,Guia!$B$7:$F$7),1))</f>
        <v>4.3</v>
      </c>
      <c r="AM63" s="10"/>
      <c r="AN63" s="10"/>
      <c r="AO63" s="7" t="s">
        <v>122</v>
      </c>
      <c r="AP63" s="7" t="s">
        <v>97</v>
      </c>
      <c r="AQ63" s="7" t="s">
        <v>97</v>
      </c>
      <c r="AR63" s="7" t="s">
        <v>97</v>
      </c>
      <c r="AS63" s="7" t="s">
        <v>97</v>
      </c>
      <c r="AT63" s="7" t="s">
        <v>97</v>
      </c>
      <c r="AU63" s="7" t="s">
        <v>97</v>
      </c>
    </row>
    <row r="64" spans="1:47" ht="32" customHeight="1">
      <c r="A64" s="7" t="s">
        <v>742</v>
      </c>
      <c r="B64" s="7" t="s">
        <v>100</v>
      </c>
      <c r="C64" s="7" t="s">
        <v>722</v>
      </c>
      <c r="D64" s="7" t="s">
        <v>743</v>
      </c>
      <c r="E64" s="7" t="s">
        <v>103</v>
      </c>
      <c r="F64" s="7" t="s">
        <v>209</v>
      </c>
      <c r="G64" s="7" t="s">
        <v>105</v>
      </c>
      <c r="H64" s="7" t="s">
        <v>106</v>
      </c>
      <c r="I64" s="7" t="s">
        <v>107</v>
      </c>
      <c r="J64" s="7" t="s">
        <v>156</v>
      </c>
      <c r="K64" s="7" t="s">
        <v>190</v>
      </c>
      <c r="L64" s="7" t="s">
        <v>744</v>
      </c>
      <c r="M64" s="7" t="s">
        <v>112</v>
      </c>
      <c r="N64" s="7" t="s">
        <v>112</v>
      </c>
      <c r="O64" s="7" t="s">
        <v>112</v>
      </c>
      <c r="P64" s="7" t="s">
        <v>113</v>
      </c>
      <c r="Q64" s="7" t="s">
        <v>112</v>
      </c>
      <c r="R64" s="7" t="s">
        <v>111</v>
      </c>
      <c r="S64" s="7" t="s">
        <v>112</v>
      </c>
      <c r="T64" s="7" t="s">
        <v>165</v>
      </c>
      <c r="U64" s="7" t="s">
        <v>745</v>
      </c>
      <c r="V64" s="7" t="s">
        <v>746</v>
      </c>
      <c r="W64" s="7" t="s">
        <v>747</v>
      </c>
      <c r="X64" s="7" t="s">
        <v>748</v>
      </c>
      <c r="Y64" s="7" t="s">
        <v>118</v>
      </c>
      <c r="Z64" s="7" t="s">
        <v>749</v>
      </c>
      <c r="AA64" s="16">
        <v>46293</v>
      </c>
      <c r="AB64" s="7" t="s">
        <v>750</v>
      </c>
      <c r="AC64" s="7" t="s">
        <v>98</v>
      </c>
      <c r="AD64" s="7"/>
      <c r="AE64" s="7" t="s">
        <v>120</v>
      </c>
      <c r="AF64" s="9">
        <v>6</v>
      </c>
      <c r="AG64" s="9">
        <v>5</v>
      </c>
      <c r="AH64" s="9">
        <v>6</v>
      </c>
      <c r="AI64" s="9">
        <v>4</v>
      </c>
      <c r="AJ64" s="9">
        <v>6</v>
      </c>
      <c r="AK64" s="7" t="s">
        <v>751</v>
      </c>
      <c r="AL64" s="10">
        <f>IF(OR(A64="",COUNT(AF64:AJ64)&lt;5),"",ROUND(SUMPRODUCT(AF64:AJ64,Guia!$B$7:$F$7),1))</f>
        <v>5.3</v>
      </c>
      <c r="AM64" s="10"/>
      <c r="AN64" s="10"/>
      <c r="AO64" s="7" t="s">
        <v>122</v>
      </c>
      <c r="AP64" s="7" t="s">
        <v>97</v>
      </c>
      <c r="AQ64" s="7" t="s">
        <v>97</v>
      </c>
      <c r="AR64" s="7" t="s">
        <v>97</v>
      </c>
      <c r="AS64" s="7" t="s">
        <v>97</v>
      </c>
      <c r="AT64" s="7" t="s">
        <v>97</v>
      </c>
      <c r="AU64" s="7" t="s">
        <v>97</v>
      </c>
    </row>
    <row r="65" spans="1:47" ht="32" customHeight="1">
      <c r="A65" s="7" t="s">
        <v>752</v>
      </c>
      <c r="B65" s="7" t="s">
        <v>100</v>
      </c>
      <c r="C65" s="7" t="s">
        <v>722</v>
      </c>
      <c r="D65" s="7" t="s">
        <v>753</v>
      </c>
      <c r="E65" s="7" t="s">
        <v>125</v>
      </c>
      <c r="F65" s="7" t="s">
        <v>394</v>
      </c>
      <c r="G65" s="7" t="s">
        <v>105</v>
      </c>
      <c r="H65" s="7" t="s">
        <v>106</v>
      </c>
      <c r="I65" s="7" t="s">
        <v>107</v>
      </c>
      <c r="J65" s="7" t="s">
        <v>108</v>
      </c>
      <c r="K65" s="7" t="s">
        <v>236</v>
      </c>
      <c r="L65" s="7"/>
      <c r="M65" s="7" t="s">
        <v>111</v>
      </c>
      <c r="N65" s="7" t="s">
        <v>111</v>
      </c>
      <c r="O65" s="7" t="s">
        <v>111</v>
      </c>
      <c r="P65" s="7" t="s">
        <v>113</v>
      </c>
      <c r="Q65" s="7" t="s">
        <v>111</v>
      </c>
      <c r="R65" s="7" t="s">
        <v>111</v>
      </c>
      <c r="S65" s="7" t="s">
        <v>113</v>
      </c>
      <c r="T65" s="7" t="s">
        <v>165</v>
      </c>
      <c r="U65" s="7" t="s">
        <v>754</v>
      </c>
      <c r="V65" s="7" t="s">
        <v>755</v>
      </c>
      <c r="W65" s="7" t="s">
        <v>756</v>
      </c>
      <c r="X65" s="7" t="s">
        <v>757</v>
      </c>
      <c r="Y65" s="7" t="s">
        <v>118</v>
      </c>
      <c r="Z65" s="7" t="s">
        <v>758</v>
      </c>
      <c r="AA65" s="16">
        <v>46293</v>
      </c>
      <c r="AB65" s="7" t="s">
        <v>759</v>
      </c>
      <c r="AC65" s="7" t="s">
        <v>98</v>
      </c>
      <c r="AD65" s="7"/>
      <c r="AE65" s="7" t="s">
        <v>120</v>
      </c>
      <c r="AF65" s="9">
        <v>7</v>
      </c>
      <c r="AG65" s="9">
        <v>7</v>
      </c>
      <c r="AH65" s="9">
        <v>6</v>
      </c>
      <c r="AI65" s="9">
        <v>7</v>
      </c>
      <c r="AJ65" s="9">
        <v>6</v>
      </c>
      <c r="AK65" s="7" t="s">
        <v>760</v>
      </c>
      <c r="AL65" s="10">
        <f>IF(OR(A65="",COUNT(AF65:AJ65)&lt;5),"",ROUND(SUMPRODUCT(AF65:AJ65,Guia!$B$7:$F$7),1))</f>
        <v>6.8</v>
      </c>
      <c r="AM65" s="10"/>
      <c r="AN65" s="10"/>
      <c r="AO65" s="7" t="s">
        <v>122</v>
      </c>
      <c r="AP65" s="7" t="s">
        <v>97</v>
      </c>
      <c r="AQ65" s="7" t="s">
        <v>97</v>
      </c>
      <c r="AR65" s="7" t="s">
        <v>97</v>
      </c>
      <c r="AS65" s="7" t="s">
        <v>97</v>
      </c>
      <c r="AT65" s="7" t="s">
        <v>97</v>
      </c>
      <c r="AU65" s="7" t="s">
        <v>97</v>
      </c>
    </row>
    <row r="66" spans="1:47" ht="32" customHeight="1">
      <c r="A66" s="7" t="s">
        <v>761</v>
      </c>
      <c r="B66" s="7" t="s">
        <v>100</v>
      </c>
      <c r="C66" s="7" t="s">
        <v>722</v>
      </c>
      <c r="D66" s="7" t="s">
        <v>762</v>
      </c>
      <c r="E66" s="7" t="s">
        <v>103</v>
      </c>
      <c r="F66" s="7" t="s">
        <v>452</v>
      </c>
      <c r="G66" s="7" t="s">
        <v>105</v>
      </c>
      <c r="H66" s="7" t="s">
        <v>106</v>
      </c>
      <c r="I66" s="7" t="s">
        <v>107</v>
      </c>
      <c r="J66" s="7" t="s">
        <v>108</v>
      </c>
      <c r="K66" s="7" t="s">
        <v>190</v>
      </c>
      <c r="L66" s="7" t="s">
        <v>763</v>
      </c>
      <c r="M66" s="7" t="s">
        <v>112</v>
      </c>
      <c r="N66" s="7" t="s">
        <v>111</v>
      </c>
      <c r="O66" s="7" t="s">
        <v>122</v>
      </c>
      <c r="P66" s="7" t="s">
        <v>113</v>
      </c>
      <c r="Q66" s="7" t="s">
        <v>111</v>
      </c>
      <c r="R66" s="7" t="s">
        <v>113</v>
      </c>
      <c r="S66" s="7" t="s">
        <v>122</v>
      </c>
      <c r="T66" s="7" t="s">
        <v>122</v>
      </c>
      <c r="U66" s="7" t="s">
        <v>764</v>
      </c>
      <c r="V66" s="7" t="s">
        <v>765</v>
      </c>
      <c r="W66" s="7" t="s">
        <v>766</v>
      </c>
      <c r="X66" s="7"/>
      <c r="Y66" s="7" t="s">
        <v>150</v>
      </c>
      <c r="Z66" s="7" t="s">
        <v>767</v>
      </c>
      <c r="AA66" s="16">
        <v>46293</v>
      </c>
      <c r="AB66" s="7" t="s">
        <v>768</v>
      </c>
      <c r="AC66" s="7" t="s">
        <v>98</v>
      </c>
      <c r="AD66" s="7"/>
      <c r="AE66" s="7" t="s">
        <v>120</v>
      </c>
      <c r="AF66" s="9">
        <v>6</v>
      </c>
      <c r="AG66" s="9">
        <v>5</v>
      </c>
      <c r="AH66" s="9">
        <v>7</v>
      </c>
      <c r="AI66" s="9">
        <v>5</v>
      </c>
      <c r="AJ66" s="9">
        <v>7</v>
      </c>
      <c r="AK66" s="7" t="s">
        <v>769</v>
      </c>
      <c r="AL66" s="10">
        <f>IF(OR(A66="",COUNT(AF66:AJ66)&lt;5),"",ROUND(SUMPRODUCT(AF66:AJ66,Guia!$B$7:$F$7),1))</f>
        <v>5.8</v>
      </c>
      <c r="AM66" s="10"/>
      <c r="AN66" s="10"/>
      <c r="AO66" s="7" t="s">
        <v>122</v>
      </c>
      <c r="AP66" s="7" t="s">
        <v>97</v>
      </c>
      <c r="AQ66" s="7" t="s">
        <v>97</v>
      </c>
      <c r="AR66" s="7" t="s">
        <v>97</v>
      </c>
      <c r="AS66" s="7" t="s">
        <v>97</v>
      </c>
      <c r="AT66" s="7" t="s">
        <v>97</v>
      </c>
      <c r="AU66" s="7" t="s">
        <v>97</v>
      </c>
    </row>
    <row r="67" spans="1:47" ht="3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8"/>
      <c r="AB67" s="7"/>
      <c r="AC67" s="7"/>
      <c r="AD67" s="7"/>
      <c r="AE67" s="7"/>
      <c r="AF67" s="9"/>
      <c r="AG67" s="9"/>
      <c r="AH67" s="9"/>
      <c r="AI67" s="9"/>
      <c r="AJ67" s="9"/>
      <c r="AK67" s="7"/>
      <c r="AL67" s="10" t="str">
        <f>IF(OR(A67="",COUNT(AF67:AJ67)&lt;5),"",ROUND(SUMPRODUCT(AF67:AJ67,Guia!$B$7:$F$7),1))</f>
        <v/>
      </c>
      <c r="AM67" s="10"/>
      <c r="AN67" s="10"/>
      <c r="AO67" s="7"/>
      <c r="AP67" s="7"/>
      <c r="AQ67" s="7"/>
      <c r="AR67" s="7"/>
      <c r="AS67" s="7"/>
      <c r="AT67" s="7"/>
      <c r="AU67" s="7"/>
    </row>
    <row r="68" spans="1:47" ht="32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8"/>
      <c r="AB68" s="7"/>
      <c r="AC68" s="7"/>
      <c r="AD68" s="7"/>
      <c r="AE68" s="7"/>
      <c r="AF68" s="9"/>
      <c r="AG68" s="9"/>
      <c r="AH68" s="9"/>
      <c r="AI68" s="9"/>
      <c r="AJ68" s="9"/>
      <c r="AK68" s="7"/>
      <c r="AL68" s="10" t="str">
        <f>IF(OR(A68="",COUNT(AF68:AJ68)&lt;5),"",ROUND(SUMPRODUCT(AF68:AJ68,Guia!$B$7:$F$7),1))</f>
        <v/>
      </c>
      <c r="AM68" s="10"/>
      <c r="AN68" s="10"/>
      <c r="AO68" s="7"/>
      <c r="AP68" s="7"/>
      <c r="AQ68" s="7"/>
      <c r="AR68" s="7"/>
      <c r="AS68" s="7"/>
      <c r="AT68" s="7"/>
      <c r="AU68" s="7"/>
    </row>
    <row r="69" spans="1:47" ht="32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8"/>
      <c r="AB69" s="7"/>
      <c r="AC69" s="7"/>
      <c r="AD69" s="7"/>
      <c r="AE69" s="7"/>
      <c r="AF69" s="9"/>
      <c r="AG69" s="9"/>
      <c r="AH69" s="9"/>
      <c r="AI69" s="9"/>
      <c r="AJ69" s="9"/>
      <c r="AK69" s="7"/>
      <c r="AL69" s="10" t="str">
        <f>IF(OR(A69="",COUNT(AF69:AJ69)&lt;5),"",ROUND(SUMPRODUCT(AF69:AJ69,Guia!$B$7:$F$7),1))</f>
        <v/>
      </c>
      <c r="AM69" s="10"/>
      <c r="AN69" s="10"/>
      <c r="AO69" s="7"/>
      <c r="AP69" s="7"/>
      <c r="AQ69" s="7"/>
      <c r="AR69" s="7"/>
      <c r="AS69" s="7"/>
      <c r="AT69" s="7"/>
      <c r="AU69" s="7"/>
    </row>
    <row r="70" spans="1:47" ht="32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8"/>
      <c r="AB70" s="7"/>
      <c r="AC70" s="7"/>
      <c r="AD70" s="7"/>
      <c r="AE70" s="7"/>
      <c r="AF70" s="9"/>
      <c r="AG70" s="9"/>
      <c r="AH70" s="9"/>
      <c r="AI70" s="9"/>
      <c r="AJ70" s="9"/>
      <c r="AK70" s="7"/>
      <c r="AL70" s="10" t="str">
        <f>IF(OR(A70="",COUNT(AF70:AJ70)&lt;5),"",ROUND(SUMPRODUCT(AF70:AJ70,Guia!$B$7:$F$7),1))</f>
        <v/>
      </c>
      <c r="AM70" s="10"/>
      <c r="AN70" s="10"/>
      <c r="AO70" s="7"/>
      <c r="AP70" s="7"/>
      <c r="AQ70" s="7"/>
      <c r="AR70" s="7"/>
      <c r="AS70" s="7"/>
      <c r="AT70" s="7"/>
      <c r="AU70" s="7"/>
    </row>
    <row r="71" spans="1:47" ht="32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8"/>
      <c r="AB71" s="7"/>
      <c r="AC71" s="7"/>
      <c r="AD71" s="7"/>
      <c r="AE71" s="7"/>
      <c r="AF71" s="9"/>
      <c r="AG71" s="9"/>
      <c r="AH71" s="9"/>
      <c r="AI71" s="9"/>
      <c r="AJ71" s="9"/>
      <c r="AK71" s="7"/>
      <c r="AL71" s="10" t="str">
        <f>IF(OR(A71="",COUNT(AF71:AJ71)&lt;5),"",ROUND(SUMPRODUCT(AF71:AJ71,Guia!$B$7:$F$7),1))</f>
        <v/>
      </c>
      <c r="AM71" s="10"/>
      <c r="AN71" s="10"/>
      <c r="AO71" s="7"/>
      <c r="AP71" s="7"/>
      <c r="AQ71" s="7"/>
      <c r="AR71" s="7"/>
      <c r="AS71" s="7"/>
      <c r="AT71" s="7"/>
      <c r="AU71" s="7"/>
    </row>
    <row r="72" spans="1:47" ht="32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8"/>
      <c r="AB72" s="7"/>
      <c r="AC72" s="7"/>
      <c r="AD72" s="7"/>
      <c r="AE72" s="7"/>
      <c r="AF72" s="9"/>
      <c r="AG72" s="9"/>
      <c r="AH72" s="9"/>
      <c r="AI72" s="9"/>
      <c r="AJ72" s="9"/>
      <c r="AK72" s="7"/>
      <c r="AL72" s="10" t="str">
        <f>IF(OR(A72="",COUNT(AF72:AJ72)&lt;5),"",ROUND(SUMPRODUCT(AF72:AJ72,Guia!$B$7:$F$7),1))</f>
        <v/>
      </c>
      <c r="AM72" s="10"/>
      <c r="AN72" s="10"/>
      <c r="AO72" s="7"/>
      <c r="AP72" s="7"/>
      <c r="AQ72" s="7"/>
      <c r="AR72" s="7"/>
      <c r="AS72" s="7"/>
      <c r="AT72" s="7"/>
      <c r="AU72" s="7"/>
    </row>
    <row r="73" spans="1:47" ht="32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8"/>
      <c r="AB73" s="7"/>
      <c r="AC73" s="7"/>
      <c r="AD73" s="7"/>
      <c r="AE73" s="7"/>
      <c r="AF73" s="9"/>
      <c r="AG73" s="9"/>
      <c r="AH73" s="9"/>
      <c r="AI73" s="9"/>
      <c r="AJ73" s="9"/>
      <c r="AK73" s="7"/>
      <c r="AL73" s="10" t="str">
        <f>IF(OR(A73="",COUNT(AF73:AJ73)&lt;5),"",ROUND(SUMPRODUCT(AF73:AJ73,Guia!$B$7:$F$7),1))</f>
        <v/>
      </c>
      <c r="AM73" s="10"/>
      <c r="AN73" s="10"/>
      <c r="AO73" s="7"/>
      <c r="AP73" s="7"/>
      <c r="AQ73" s="7"/>
      <c r="AR73" s="7"/>
      <c r="AS73" s="7"/>
      <c r="AT73" s="7"/>
      <c r="AU73" s="7"/>
    </row>
    <row r="74" spans="1:47" ht="32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8"/>
      <c r="AB74" s="7"/>
      <c r="AC74" s="7"/>
      <c r="AD74" s="7"/>
      <c r="AE74" s="7"/>
      <c r="AF74" s="9"/>
      <c r="AG74" s="9"/>
      <c r="AH74" s="9"/>
      <c r="AI74" s="9"/>
      <c r="AJ74" s="9"/>
      <c r="AK74" s="7"/>
      <c r="AL74" s="10" t="str">
        <f>IF(OR(A74="",COUNT(AF74:AJ74)&lt;5),"",ROUND(SUMPRODUCT(AF74:AJ74,Guia!$B$7:$F$7),1))</f>
        <v/>
      </c>
      <c r="AM74" s="10"/>
      <c r="AN74" s="10"/>
      <c r="AO74" s="7"/>
      <c r="AP74" s="7"/>
      <c r="AQ74" s="7"/>
      <c r="AR74" s="7"/>
      <c r="AS74" s="7"/>
      <c r="AT74" s="7"/>
      <c r="AU74" s="7"/>
    </row>
    <row r="75" spans="1:47" ht="32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8"/>
      <c r="AB75" s="7"/>
      <c r="AC75" s="7"/>
      <c r="AD75" s="7"/>
      <c r="AE75" s="7"/>
      <c r="AF75" s="9"/>
      <c r="AG75" s="9"/>
      <c r="AH75" s="9"/>
      <c r="AI75" s="9"/>
      <c r="AJ75" s="9"/>
      <c r="AK75" s="7"/>
      <c r="AL75" s="10" t="str">
        <f>IF(OR(A75="",COUNT(AF75:AJ75)&lt;5),"",ROUND(SUMPRODUCT(AF75:AJ75,Guia!$B$7:$F$7),1))</f>
        <v/>
      </c>
      <c r="AM75" s="10"/>
      <c r="AN75" s="10"/>
      <c r="AO75" s="7"/>
      <c r="AP75" s="7"/>
      <c r="AQ75" s="7"/>
      <c r="AR75" s="7"/>
      <c r="AS75" s="7"/>
      <c r="AT75" s="7"/>
      <c r="AU75" s="7"/>
    </row>
    <row r="76" spans="1:47" ht="32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8"/>
      <c r="AB76" s="7"/>
      <c r="AC76" s="7"/>
      <c r="AD76" s="7"/>
      <c r="AE76" s="7"/>
      <c r="AF76" s="9"/>
      <c r="AG76" s="9"/>
      <c r="AH76" s="9"/>
      <c r="AI76" s="9"/>
      <c r="AJ76" s="9"/>
      <c r="AK76" s="7"/>
      <c r="AL76" s="10" t="str">
        <f>IF(OR(A76="",COUNT(AF76:AJ76)&lt;5),"",ROUND(SUMPRODUCT(AF76:AJ76,Guia!$B$7:$F$7),1))</f>
        <v/>
      </c>
      <c r="AM76" s="10"/>
      <c r="AN76" s="10"/>
      <c r="AO76" s="7"/>
      <c r="AP76" s="7"/>
      <c r="AQ76" s="7"/>
      <c r="AR76" s="7"/>
      <c r="AS76" s="7"/>
      <c r="AT76" s="7"/>
      <c r="AU76" s="7"/>
    </row>
    <row r="77" spans="1:47" ht="32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8"/>
      <c r="AB77" s="7"/>
      <c r="AC77" s="7"/>
      <c r="AD77" s="7"/>
      <c r="AE77" s="7"/>
      <c r="AF77" s="9"/>
      <c r="AG77" s="9"/>
      <c r="AH77" s="9"/>
      <c r="AI77" s="9"/>
      <c r="AJ77" s="9"/>
      <c r="AK77" s="7"/>
      <c r="AL77" s="10" t="str">
        <f>IF(OR(A77="",COUNT(AF77:AJ77)&lt;5),"",ROUND(SUMPRODUCT(AF77:AJ77,Guia!$B$7:$F$7),1))</f>
        <v/>
      </c>
      <c r="AM77" s="10"/>
      <c r="AN77" s="10"/>
      <c r="AO77" s="7"/>
      <c r="AP77" s="7"/>
      <c r="AQ77" s="7"/>
      <c r="AR77" s="7"/>
      <c r="AS77" s="7"/>
      <c r="AT77" s="7"/>
      <c r="AU77" s="7"/>
    </row>
    <row r="78" spans="1:47" ht="32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8"/>
      <c r="AB78" s="7"/>
      <c r="AC78" s="7"/>
      <c r="AD78" s="7"/>
      <c r="AE78" s="7"/>
      <c r="AF78" s="9"/>
      <c r="AG78" s="9"/>
      <c r="AH78" s="9"/>
      <c r="AI78" s="9"/>
      <c r="AJ78" s="9"/>
      <c r="AK78" s="7"/>
      <c r="AL78" s="10" t="str">
        <f>IF(OR(A78="",COUNT(AF78:AJ78)&lt;5),"",ROUND(SUMPRODUCT(AF78:AJ78,Guia!$B$7:$F$7),1))</f>
        <v/>
      </c>
      <c r="AM78" s="10"/>
      <c r="AN78" s="10"/>
      <c r="AO78" s="7"/>
      <c r="AP78" s="7"/>
      <c r="AQ78" s="7"/>
      <c r="AR78" s="7"/>
      <c r="AS78" s="7"/>
      <c r="AT78" s="7"/>
      <c r="AU78" s="7"/>
    </row>
    <row r="79" spans="1:47" ht="32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8"/>
      <c r="AB79" s="7"/>
      <c r="AC79" s="7"/>
      <c r="AD79" s="7"/>
      <c r="AE79" s="7"/>
      <c r="AF79" s="9"/>
      <c r="AG79" s="9"/>
      <c r="AH79" s="9"/>
      <c r="AI79" s="9"/>
      <c r="AJ79" s="9"/>
      <c r="AK79" s="7"/>
      <c r="AL79" s="10" t="str">
        <f>IF(OR(A79="",COUNT(AF79:AJ79)&lt;5),"",ROUND(SUMPRODUCT(AF79:AJ79,Guia!$B$7:$F$7),1))</f>
        <v/>
      </c>
      <c r="AM79" s="10"/>
      <c r="AN79" s="10"/>
      <c r="AO79" s="7"/>
      <c r="AP79" s="7"/>
      <c r="AQ79" s="7"/>
      <c r="AR79" s="7"/>
      <c r="AS79" s="7"/>
      <c r="AT79" s="7"/>
      <c r="AU79" s="7"/>
    </row>
    <row r="80" spans="1:47" ht="32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8"/>
      <c r="AB80" s="7"/>
      <c r="AC80" s="7"/>
      <c r="AD80" s="7"/>
      <c r="AE80" s="7"/>
      <c r="AF80" s="9"/>
      <c r="AG80" s="9"/>
      <c r="AH80" s="9"/>
      <c r="AI80" s="9"/>
      <c r="AJ80" s="9"/>
      <c r="AK80" s="7"/>
      <c r="AL80" s="10" t="str">
        <f>IF(OR(A80="",COUNT(AF80:AJ80)&lt;5),"",ROUND(SUMPRODUCT(AF80:AJ80,Guia!$B$7:$F$7),1))</f>
        <v/>
      </c>
      <c r="AM80" s="10"/>
      <c r="AN80" s="10"/>
      <c r="AO80" s="7"/>
      <c r="AP80" s="7"/>
      <c r="AQ80" s="7"/>
      <c r="AR80" s="7"/>
      <c r="AS80" s="7"/>
      <c r="AT80" s="7"/>
      <c r="AU80" s="7"/>
    </row>
    <row r="81" spans="1:47" ht="32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8"/>
      <c r="AB81" s="7"/>
      <c r="AC81" s="7"/>
      <c r="AD81" s="7"/>
      <c r="AE81" s="7"/>
      <c r="AF81" s="9"/>
      <c r="AG81" s="9"/>
      <c r="AH81" s="9"/>
      <c r="AI81" s="9"/>
      <c r="AJ81" s="9"/>
      <c r="AK81" s="7"/>
      <c r="AL81" s="10" t="str">
        <f>IF(OR(A81="",COUNT(AF81:AJ81)&lt;5),"",ROUND(SUMPRODUCT(AF81:AJ81,Guia!$B$7:$F$7),1))</f>
        <v/>
      </c>
      <c r="AM81" s="10"/>
      <c r="AN81" s="10"/>
      <c r="AO81" s="7"/>
      <c r="AP81" s="7"/>
      <c r="AQ81" s="7"/>
      <c r="AR81" s="7"/>
      <c r="AS81" s="7"/>
      <c r="AT81" s="7"/>
      <c r="AU81" s="7"/>
    </row>
    <row r="82" spans="1:47" ht="32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8"/>
      <c r="AB82" s="7"/>
      <c r="AC82" s="7"/>
      <c r="AD82" s="7"/>
      <c r="AE82" s="7"/>
      <c r="AF82" s="9"/>
      <c r="AG82" s="9"/>
      <c r="AH82" s="9"/>
      <c r="AI82" s="9"/>
      <c r="AJ82" s="9"/>
      <c r="AK82" s="7"/>
      <c r="AL82" s="10" t="str">
        <f>IF(OR(A82="",COUNT(AF82:AJ82)&lt;5),"",ROUND(SUMPRODUCT(AF82:AJ82,Guia!$B$7:$F$7),1))</f>
        <v/>
      </c>
      <c r="AM82" s="10"/>
      <c r="AN82" s="10"/>
      <c r="AO82" s="7"/>
      <c r="AP82" s="7"/>
      <c r="AQ82" s="7"/>
      <c r="AR82" s="7"/>
      <c r="AS82" s="7"/>
      <c r="AT82" s="7"/>
      <c r="AU82" s="7"/>
    </row>
    <row r="83" spans="1:47" ht="32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8"/>
      <c r="AB83" s="7"/>
      <c r="AC83" s="7"/>
      <c r="AD83" s="7"/>
      <c r="AE83" s="7"/>
      <c r="AF83" s="9"/>
      <c r="AG83" s="9"/>
      <c r="AH83" s="9"/>
      <c r="AI83" s="9"/>
      <c r="AJ83" s="9"/>
      <c r="AK83" s="7"/>
      <c r="AL83" s="10" t="str">
        <f>IF(OR(A83="",COUNT(AF83:AJ83)&lt;5),"",ROUND(SUMPRODUCT(AF83:AJ83,Guia!$B$7:$F$7),1))</f>
        <v/>
      </c>
      <c r="AM83" s="10"/>
      <c r="AN83" s="10"/>
      <c r="AO83" s="7"/>
      <c r="AP83" s="7"/>
      <c r="AQ83" s="7"/>
      <c r="AR83" s="7"/>
      <c r="AS83" s="7"/>
      <c r="AT83" s="7"/>
      <c r="AU83" s="7"/>
    </row>
    <row r="84" spans="1:47" ht="32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8"/>
      <c r="AB84" s="7"/>
      <c r="AC84" s="7"/>
      <c r="AD84" s="7"/>
      <c r="AE84" s="7"/>
      <c r="AF84" s="9"/>
      <c r="AG84" s="9"/>
      <c r="AH84" s="9"/>
      <c r="AI84" s="9"/>
      <c r="AJ84" s="9"/>
      <c r="AK84" s="7"/>
      <c r="AL84" s="10" t="str">
        <f>IF(OR(A84="",COUNT(AF84:AJ84)&lt;5),"",ROUND(SUMPRODUCT(AF84:AJ84,Guia!$B$7:$F$7),1))</f>
        <v/>
      </c>
      <c r="AM84" s="10"/>
      <c r="AN84" s="10"/>
      <c r="AO84" s="7"/>
      <c r="AP84" s="7"/>
      <c r="AQ84" s="7"/>
      <c r="AR84" s="7"/>
      <c r="AS84" s="7"/>
      <c r="AT84" s="7"/>
      <c r="AU84" s="7"/>
    </row>
    <row r="85" spans="1:47" ht="32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8"/>
      <c r="AB85" s="7"/>
      <c r="AC85" s="7"/>
      <c r="AD85" s="7"/>
      <c r="AE85" s="7"/>
      <c r="AF85" s="9"/>
      <c r="AG85" s="9"/>
      <c r="AH85" s="9"/>
      <c r="AI85" s="9"/>
      <c r="AJ85" s="9"/>
      <c r="AK85" s="7"/>
      <c r="AL85" s="10" t="str">
        <f>IF(OR(A85="",COUNT(AF85:AJ85)&lt;5),"",ROUND(SUMPRODUCT(AF85:AJ85,Guia!$B$7:$F$7),1))</f>
        <v/>
      </c>
      <c r="AM85" s="10"/>
      <c r="AN85" s="10"/>
      <c r="AO85" s="7"/>
      <c r="AP85" s="7"/>
      <c r="AQ85" s="7"/>
      <c r="AR85" s="7"/>
      <c r="AS85" s="7"/>
      <c r="AT85" s="7"/>
      <c r="AU85" s="7"/>
    </row>
    <row r="86" spans="1:47" ht="32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8"/>
      <c r="AB86" s="7"/>
      <c r="AC86" s="7"/>
      <c r="AD86" s="7"/>
      <c r="AE86" s="7"/>
      <c r="AF86" s="9"/>
      <c r="AG86" s="9"/>
      <c r="AH86" s="9"/>
      <c r="AI86" s="9"/>
      <c r="AJ86" s="9"/>
      <c r="AK86" s="7"/>
      <c r="AL86" s="10" t="str">
        <f>IF(OR(A86="",COUNT(AF86:AJ86)&lt;5),"",ROUND(SUMPRODUCT(AF86:AJ86,Guia!$B$7:$F$7),1))</f>
        <v/>
      </c>
      <c r="AM86" s="10"/>
      <c r="AN86" s="10"/>
      <c r="AO86" s="7"/>
      <c r="AP86" s="7"/>
      <c r="AQ86" s="7"/>
      <c r="AR86" s="7"/>
      <c r="AS86" s="7"/>
      <c r="AT86" s="7"/>
      <c r="AU86" s="7"/>
    </row>
    <row r="87" spans="1:47" ht="32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8"/>
      <c r="AB87" s="7"/>
      <c r="AC87" s="7"/>
      <c r="AD87" s="7"/>
      <c r="AE87" s="7"/>
      <c r="AF87" s="9"/>
      <c r="AG87" s="9"/>
      <c r="AH87" s="9"/>
      <c r="AI87" s="9"/>
      <c r="AJ87" s="9"/>
      <c r="AK87" s="7"/>
      <c r="AL87" s="10" t="str">
        <f>IF(OR(A87="",COUNT(AF87:AJ87)&lt;5),"",ROUND(SUMPRODUCT(AF87:AJ87,Guia!$B$7:$F$7),1))</f>
        <v/>
      </c>
      <c r="AM87" s="10"/>
      <c r="AN87" s="10"/>
      <c r="AO87" s="7"/>
      <c r="AP87" s="7"/>
      <c r="AQ87" s="7"/>
      <c r="AR87" s="7"/>
      <c r="AS87" s="7"/>
      <c r="AT87" s="7"/>
      <c r="AU87" s="7"/>
    </row>
    <row r="88" spans="1:47" ht="32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8"/>
      <c r="AB88" s="7"/>
      <c r="AC88" s="7"/>
      <c r="AD88" s="7"/>
      <c r="AE88" s="7"/>
      <c r="AF88" s="9"/>
      <c r="AG88" s="9"/>
      <c r="AH88" s="9"/>
      <c r="AI88" s="9"/>
      <c r="AJ88" s="9"/>
      <c r="AK88" s="7"/>
      <c r="AL88" s="10" t="str">
        <f>IF(OR(A88="",COUNT(AF88:AJ88)&lt;5),"",ROUND(SUMPRODUCT(AF88:AJ88,Guia!$B$7:$F$7),1))</f>
        <v/>
      </c>
      <c r="AM88" s="10"/>
      <c r="AN88" s="10"/>
      <c r="AO88" s="7"/>
      <c r="AP88" s="7"/>
      <c r="AQ88" s="7"/>
      <c r="AR88" s="7"/>
      <c r="AS88" s="7"/>
      <c r="AT88" s="7"/>
      <c r="AU88" s="7"/>
    </row>
    <row r="89" spans="1:47" ht="32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8"/>
      <c r="AB89" s="7"/>
      <c r="AC89" s="7"/>
      <c r="AD89" s="7"/>
      <c r="AE89" s="7"/>
      <c r="AF89" s="9"/>
      <c r="AG89" s="9"/>
      <c r="AH89" s="9"/>
      <c r="AI89" s="9"/>
      <c r="AJ89" s="9"/>
      <c r="AK89" s="7"/>
      <c r="AL89" s="10" t="str">
        <f>IF(OR(A89="",COUNT(AF89:AJ89)&lt;5),"",ROUND(SUMPRODUCT(AF89:AJ89,Guia!$B$7:$F$7),1))</f>
        <v/>
      </c>
      <c r="AM89" s="10"/>
      <c r="AN89" s="10"/>
      <c r="AO89" s="7"/>
      <c r="AP89" s="7"/>
      <c r="AQ89" s="7"/>
      <c r="AR89" s="7"/>
      <c r="AS89" s="7"/>
      <c r="AT89" s="7"/>
      <c r="AU89" s="7"/>
    </row>
    <row r="90" spans="1:47" ht="32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8"/>
      <c r="AB90" s="7"/>
      <c r="AC90" s="7"/>
      <c r="AD90" s="7"/>
      <c r="AE90" s="7"/>
      <c r="AF90" s="9"/>
      <c r="AG90" s="9"/>
      <c r="AH90" s="9"/>
      <c r="AI90" s="9"/>
      <c r="AJ90" s="9"/>
      <c r="AK90" s="7"/>
      <c r="AL90" s="10" t="str">
        <f>IF(OR(A90="",COUNT(AF90:AJ90)&lt;5),"",ROUND(SUMPRODUCT(AF90:AJ90,Guia!$B$7:$F$7),1))</f>
        <v/>
      </c>
      <c r="AM90" s="10"/>
      <c r="AN90" s="10"/>
      <c r="AO90" s="7"/>
      <c r="AP90" s="7"/>
      <c r="AQ90" s="7"/>
      <c r="AR90" s="7"/>
      <c r="AS90" s="7"/>
      <c r="AT90" s="7"/>
      <c r="AU90" s="7"/>
    </row>
    <row r="91" spans="1:47" ht="32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8"/>
      <c r="AB91" s="7"/>
      <c r="AC91" s="7"/>
      <c r="AD91" s="7"/>
      <c r="AE91" s="7"/>
      <c r="AF91" s="9"/>
      <c r="AG91" s="9"/>
      <c r="AH91" s="9"/>
      <c r="AI91" s="9"/>
      <c r="AJ91" s="9"/>
      <c r="AK91" s="7"/>
      <c r="AL91" s="10" t="str">
        <f>IF(OR(A91="",COUNT(AF91:AJ91)&lt;5),"",ROUND(SUMPRODUCT(AF91:AJ91,Guia!$B$7:$F$7),1))</f>
        <v/>
      </c>
      <c r="AM91" s="10"/>
      <c r="AN91" s="10"/>
      <c r="AO91" s="7"/>
      <c r="AP91" s="7"/>
      <c r="AQ91" s="7"/>
      <c r="AR91" s="7"/>
      <c r="AS91" s="7"/>
      <c r="AT91" s="7"/>
      <c r="AU91" s="7"/>
    </row>
    <row r="92" spans="1:47" ht="32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8"/>
      <c r="AB92" s="7"/>
      <c r="AC92" s="7"/>
      <c r="AD92" s="7"/>
      <c r="AE92" s="7"/>
      <c r="AF92" s="9"/>
      <c r="AG92" s="9"/>
      <c r="AH92" s="9"/>
      <c r="AI92" s="9"/>
      <c r="AJ92" s="9"/>
      <c r="AK92" s="7"/>
      <c r="AL92" s="10" t="str">
        <f>IF(OR(A92="",COUNT(AF92:AJ92)&lt;5),"",ROUND(SUMPRODUCT(AF92:AJ92,Guia!$B$7:$F$7),1))</f>
        <v/>
      </c>
      <c r="AM92" s="10"/>
      <c r="AN92" s="10"/>
      <c r="AO92" s="7"/>
      <c r="AP92" s="7"/>
      <c r="AQ92" s="7"/>
      <c r="AR92" s="7"/>
      <c r="AS92" s="7"/>
      <c r="AT92" s="7"/>
      <c r="AU92" s="7"/>
    </row>
    <row r="93" spans="1:47" ht="32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8"/>
      <c r="AB93" s="7"/>
      <c r="AC93" s="7"/>
      <c r="AD93" s="7"/>
      <c r="AE93" s="7"/>
      <c r="AF93" s="9"/>
      <c r="AG93" s="9"/>
      <c r="AH93" s="9"/>
      <c r="AI93" s="9"/>
      <c r="AJ93" s="9"/>
      <c r="AK93" s="7"/>
      <c r="AL93" s="10" t="str">
        <f>IF(OR(A93="",COUNT(AF93:AJ93)&lt;5),"",ROUND(SUMPRODUCT(AF93:AJ93,Guia!$B$7:$F$7),1))</f>
        <v/>
      </c>
      <c r="AM93" s="10"/>
      <c r="AN93" s="10"/>
      <c r="AO93" s="7"/>
      <c r="AP93" s="7"/>
      <c r="AQ93" s="7"/>
      <c r="AR93" s="7"/>
      <c r="AS93" s="7"/>
      <c r="AT93" s="7"/>
      <c r="AU93" s="7"/>
    </row>
    <row r="94" spans="1:47" ht="32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8"/>
      <c r="AB94" s="7"/>
      <c r="AC94" s="7"/>
      <c r="AD94" s="7"/>
      <c r="AE94" s="7"/>
      <c r="AF94" s="9"/>
      <c r="AG94" s="9"/>
      <c r="AH94" s="9"/>
      <c r="AI94" s="9"/>
      <c r="AJ94" s="9"/>
      <c r="AK94" s="7"/>
      <c r="AL94" s="10" t="str">
        <f>IF(OR(A94="",COUNT(AF94:AJ94)&lt;5),"",ROUND(SUMPRODUCT(AF94:AJ94,Guia!$B$7:$F$7),1))</f>
        <v/>
      </c>
      <c r="AM94" s="10"/>
      <c r="AN94" s="10"/>
      <c r="AO94" s="7"/>
      <c r="AP94" s="7"/>
      <c r="AQ94" s="7"/>
      <c r="AR94" s="7"/>
      <c r="AS94" s="7"/>
      <c r="AT94" s="7"/>
      <c r="AU94" s="7"/>
    </row>
    <row r="95" spans="1:47" ht="32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8"/>
      <c r="AB95" s="7"/>
      <c r="AC95" s="7"/>
      <c r="AD95" s="7"/>
      <c r="AE95" s="7"/>
      <c r="AF95" s="9"/>
      <c r="AG95" s="9"/>
      <c r="AH95" s="9"/>
      <c r="AI95" s="9"/>
      <c r="AJ95" s="9"/>
      <c r="AK95" s="7"/>
      <c r="AL95" s="10" t="str">
        <f>IF(OR(A95="",COUNT(AF95:AJ95)&lt;5),"",ROUND(SUMPRODUCT(AF95:AJ95,Guia!$B$7:$F$7),1))</f>
        <v/>
      </c>
      <c r="AM95" s="10"/>
      <c r="AN95" s="10"/>
      <c r="AO95" s="7"/>
      <c r="AP95" s="7"/>
      <c r="AQ95" s="7"/>
      <c r="AR95" s="7"/>
      <c r="AS95" s="7"/>
      <c r="AT95" s="7"/>
      <c r="AU95" s="7"/>
    </row>
    <row r="96" spans="1:47" ht="32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8"/>
      <c r="AB96" s="7"/>
      <c r="AC96" s="7"/>
      <c r="AD96" s="7"/>
      <c r="AE96" s="7"/>
      <c r="AF96" s="9"/>
      <c r="AG96" s="9"/>
      <c r="AH96" s="9"/>
      <c r="AI96" s="9"/>
      <c r="AJ96" s="9"/>
      <c r="AK96" s="7"/>
      <c r="AL96" s="10" t="str">
        <f>IF(OR(A96="",COUNT(AF96:AJ96)&lt;5),"",ROUND(SUMPRODUCT(AF96:AJ96,Guia!$B$7:$F$7),1))</f>
        <v/>
      </c>
      <c r="AM96" s="10"/>
      <c r="AN96" s="10"/>
      <c r="AO96" s="7"/>
      <c r="AP96" s="7"/>
      <c r="AQ96" s="7"/>
      <c r="AR96" s="7"/>
      <c r="AS96" s="7"/>
      <c r="AT96" s="7"/>
      <c r="AU96" s="7"/>
    </row>
    <row r="97" spans="1:47" ht="32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8"/>
      <c r="AB97" s="7"/>
      <c r="AC97" s="7"/>
      <c r="AD97" s="7"/>
      <c r="AE97" s="7"/>
      <c r="AF97" s="9"/>
      <c r="AG97" s="9"/>
      <c r="AH97" s="9"/>
      <c r="AI97" s="9"/>
      <c r="AJ97" s="9"/>
      <c r="AK97" s="7"/>
      <c r="AL97" s="10" t="str">
        <f>IF(OR(A97="",COUNT(AF97:AJ97)&lt;5),"",ROUND(SUMPRODUCT(AF97:AJ97,Guia!$B$7:$F$7),1))</f>
        <v/>
      </c>
      <c r="AM97" s="10"/>
      <c r="AN97" s="10"/>
      <c r="AO97" s="7"/>
      <c r="AP97" s="7"/>
      <c r="AQ97" s="7"/>
      <c r="AR97" s="7"/>
      <c r="AS97" s="7"/>
      <c r="AT97" s="7"/>
      <c r="AU97" s="7"/>
    </row>
    <row r="98" spans="1:47" ht="32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8"/>
      <c r="AB98" s="7"/>
      <c r="AC98" s="7"/>
      <c r="AD98" s="7"/>
      <c r="AE98" s="7"/>
      <c r="AF98" s="9"/>
      <c r="AG98" s="9"/>
      <c r="AH98" s="9"/>
      <c r="AI98" s="9"/>
      <c r="AJ98" s="9"/>
      <c r="AK98" s="7"/>
      <c r="AL98" s="10" t="str">
        <f>IF(OR(A98="",COUNT(AF98:AJ98)&lt;5),"",ROUND(SUMPRODUCT(AF98:AJ98,Guia!$B$7:$F$7),1))</f>
        <v/>
      </c>
      <c r="AM98" s="10"/>
      <c r="AN98" s="10"/>
      <c r="AO98" s="7"/>
      <c r="AP98" s="7"/>
      <c r="AQ98" s="7"/>
      <c r="AR98" s="7"/>
      <c r="AS98" s="7"/>
      <c r="AT98" s="7"/>
      <c r="AU98" s="7"/>
    </row>
    <row r="99" spans="1:47" ht="32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8"/>
      <c r="AB99" s="7"/>
      <c r="AC99" s="7"/>
      <c r="AD99" s="7"/>
      <c r="AE99" s="7"/>
      <c r="AF99" s="9"/>
      <c r="AG99" s="9"/>
      <c r="AH99" s="9"/>
      <c r="AI99" s="9"/>
      <c r="AJ99" s="9"/>
      <c r="AK99" s="7"/>
      <c r="AL99" s="10" t="str">
        <f>IF(OR(A99="",COUNT(AF99:AJ99)&lt;5),"",ROUND(SUMPRODUCT(AF99:AJ99,Guia!$B$7:$F$7),1))</f>
        <v/>
      </c>
      <c r="AM99" s="10"/>
      <c r="AN99" s="10"/>
      <c r="AO99" s="7"/>
      <c r="AP99" s="7"/>
      <c r="AQ99" s="7"/>
      <c r="AR99" s="7"/>
      <c r="AS99" s="7"/>
      <c r="AT99" s="7"/>
      <c r="AU99" s="7"/>
    </row>
    <row r="100" spans="1:47" ht="32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8"/>
      <c r="AB100" s="7"/>
      <c r="AC100" s="7"/>
      <c r="AD100" s="7"/>
      <c r="AE100" s="7"/>
      <c r="AF100" s="9"/>
      <c r="AG100" s="9"/>
      <c r="AH100" s="9"/>
      <c r="AI100" s="9"/>
      <c r="AJ100" s="9"/>
      <c r="AK100" s="7"/>
      <c r="AL100" s="10" t="str">
        <f>IF(OR(A100="",COUNT(AF100:AJ100)&lt;5),"",ROUND(SUMPRODUCT(AF100:AJ100,Guia!$B$7:$F$7),1))</f>
        <v/>
      </c>
      <c r="AM100" s="10"/>
      <c r="AN100" s="10"/>
      <c r="AO100" s="7"/>
      <c r="AP100" s="7"/>
      <c r="AQ100" s="7"/>
      <c r="AR100" s="7"/>
      <c r="AS100" s="7"/>
      <c r="AT100" s="7"/>
      <c r="AU100" s="7"/>
    </row>
    <row r="101" spans="1:47" ht="32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8"/>
      <c r="AB101" s="7"/>
      <c r="AC101" s="7"/>
      <c r="AD101" s="7"/>
      <c r="AE101" s="7"/>
      <c r="AF101" s="9"/>
      <c r="AG101" s="9"/>
      <c r="AH101" s="9"/>
      <c r="AI101" s="9"/>
      <c r="AJ101" s="9"/>
      <c r="AK101" s="7"/>
      <c r="AL101" s="10" t="str">
        <f>IF(OR(A101="",COUNT(AF101:AJ101)&lt;5),"",ROUND(SUMPRODUCT(AF101:AJ101,Guia!$B$7:$F$7),1))</f>
        <v/>
      </c>
      <c r="AM101" s="10"/>
      <c r="AN101" s="10"/>
      <c r="AO101" s="7"/>
      <c r="AP101" s="7"/>
      <c r="AQ101" s="7"/>
      <c r="AR101" s="7"/>
      <c r="AS101" s="7"/>
      <c r="AT101" s="7"/>
      <c r="AU101" s="7"/>
    </row>
    <row r="102" spans="1:47" ht="32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8"/>
      <c r="AB102" s="7"/>
      <c r="AC102" s="7"/>
      <c r="AD102" s="7"/>
      <c r="AE102" s="7"/>
      <c r="AF102" s="9"/>
      <c r="AG102" s="9"/>
      <c r="AH102" s="9"/>
      <c r="AI102" s="9"/>
      <c r="AJ102" s="9"/>
      <c r="AK102" s="7"/>
      <c r="AL102" s="10" t="str">
        <f>IF(OR(A102="",COUNT(AF102:AJ102)&lt;5),"",ROUND(SUMPRODUCT(AF102:AJ102,Guia!$B$7:$F$7),1))</f>
        <v/>
      </c>
      <c r="AM102" s="10"/>
      <c r="AN102" s="10"/>
      <c r="AO102" s="7"/>
      <c r="AP102" s="7"/>
      <c r="AQ102" s="7"/>
      <c r="AR102" s="7"/>
      <c r="AS102" s="7"/>
      <c r="AT102" s="7"/>
      <c r="AU102" s="7"/>
    </row>
    <row r="103" spans="1:47" ht="32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8"/>
      <c r="AB103" s="7"/>
      <c r="AC103" s="7"/>
      <c r="AD103" s="7"/>
      <c r="AE103" s="7"/>
      <c r="AF103" s="9"/>
      <c r="AG103" s="9"/>
      <c r="AH103" s="9"/>
      <c r="AI103" s="9"/>
      <c r="AJ103" s="9"/>
      <c r="AK103" s="7"/>
      <c r="AL103" s="10" t="str">
        <f>IF(OR(A103="",COUNT(AF103:AJ103)&lt;5),"",ROUND(SUMPRODUCT(AF103:AJ103,Guia!$B$7:$F$7),1))</f>
        <v/>
      </c>
      <c r="AM103" s="10"/>
      <c r="AN103" s="10"/>
      <c r="AO103" s="7"/>
      <c r="AP103" s="7"/>
      <c r="AQ103" s="7"/>
      <c r="AR103" s="7"/>
      <c r="AS103" s="7"/>
      <c r="AT103" s="7"/>
      <c r="AU103" s="7"/>
    </row>
    <row r="104" spans="1:47" ht="32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8"/>
      <c r="AB104" s="7"/>
      <c r="AC104" s="7"/>
      <c r="AD104" s="7"/>
      <c r="AE104" s="7"/>
      <c r="AF104" s="9"/>
      <c r="AG104" s="9"/>
      <c r="AH104" s="9"/>
      <c r="AI104" s="9"/>
      <c r="AJ104" s="9"/>
      <c r="AK104" s="7"/>
      <c r="AL104" s="10" t="str">
        <f>IF(OR(A104="",COUNT(AF104:AJ104)&lt;5),"",ROUND(SUMPRODUCT(AF104:AJ104,Guia!$B$7:$F$7),1))</f>
        <v/>
      </c>
      <c r="AM104" s="10"/>
      <c r="AN104" s="10"/>
      <c r="AO104" s="7"/>
      <c r="AP104" s="7"/>
      <c r="AQ104" s="7"/>
      <c r="AR104" s="7"/>
      <c r="AS104" s="7"/>
      <c r="AT104" s="7"/>
      <c r="AU104" s="7"/>
    </row>
    <row r="105" spans="1:47" ht="32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8"/>
      <c r="AB105" s="7"/>
      <c r="AC105" s="7"/>
      <c r="AD105" s="7"/>
      <c r="AE105" s="7"/>
      <c r="AF105" s="9"/>
      <c r="AG105" s="9"/>
      <c r="AH105" s="9"/>
      <c r="AI105" s="9"/>
      <c r="AJ105" s="9"/>
      <c r="AK105" s="7"/>
      <c r="AL105" s="10" t="str">
        <f>IF(OR(A105="",COUNT(AF105:AJ105)&lt;5),"",ROUND(SUMPRODUCT(AF105:AJ105,Guia!$B$7:$F$7),1))</f>
        <v/>
      </c>
      <c r="AM105" s="10"/>
      <c r="AN105" s="10"/>
      <c r="AO105" s="7"/>
      <c r="AP105" s="7"/>
      <c r="AQ105" s="7"/>
      <c r="AR105" s="7"/>
      <c r="AS105" s="7"/>
      <c r="AT105" s="7"/>
      <c r="AU105" s="7"/>
    </row>
    <row r="106" spans="1:47" ht="32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8"/>
      <c r="AB106" s="7"/>
      <c r="AC106" s="7"/>
      <c r="AD106" s="7"/>
      <c r="AE106" s="7"/>
      <c r="AF106" s="9"/>
      <c r="AG106" s="9"/>
      <c r="AH106" s="9"/>
      <c r="AI106" s="9"/>
      <c r="AJ106" s="9"/>
      <c r="AK106" s="7"/>
      <c r="AL106" s="10" t="str">
        <f>IF(OR(A106="",COUNT(AF106:AJ106)&lt;5),"",ROUND(SUMPRODUCT(AF106:AJ106,Guia!$B$7:$F$7),1))</f>
        <v/>
      </c>
      <c r="AM106" s="10"/>
      <c r="AN106" s="10"/>
      <c r="AO106" s="7"/>
      <c r="AP106" s="7"/>
      <c r="AQ106" s="7"/>
      <c r="AR106" s="7"/>
      <c r="AS106" s="7"/>
      <c r="AT106" s="7"/>
      <c r="AU106" s="7"/>
    </row>
    <row r="107" spans="1:47" ht="32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8"/>
      <c r="AB107" s="7"/>
      <c r="AC107" s="7"/>
      <c r="AD107" s="7"/>
      <c r="AE107" s="7"/>
      <c r="AF107" s="9"/>
      <c r="AG107" s="9"/>
      <c r="AH107" s="9"/>
      <c r="AI107" s="9"/>
      <c r="AJ107" s="9"/>
      <c r="AK107" s="7"/>
      <c r="AL107" s="10" t="str">
        <f>IF(OR(A107="",COUNT(AF107:AJ107)&lt;5),"",ROUND(SUMPRODUCT(AF107:AJ107,Guia!$B$7:$F$7),1))</f>
        <v/>
      </c>
      <c r="AM107" s="10"/>
      <c r="AN107" s="10"/>
      <c r="AO107" s="7"/>
      <c r="AP107" s="7"/>
      <c r="AQ107" s="7"/>
      <c r="AR107" s="7"/>
      <c r="AS107" s="7"/>
      <c r="AT107" s="7"/>
      <c r="AU107" s="7"/>
    </row>
    <row r="108" spans="1:47" ht="32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8"/>
      <c r="AB108" s="7"/>
      <c r="AC108" s="7"/>
      <c r="AD108" s="7"/>
      <c r="AE108" s="7"/>
      <c r="AF108" s="9"/>
      <c r="AG108" s="9"/>
      <c r="AH108" s="9"/>
      <c r="AI108" s="9"/>
      <c r="AJ108" s="9"/>
      <c r="AK108" s="7"/>
      <c r="AL108" s="10" t="str">
        <f>IF(OR(A108="",COUNT(AF108:AJ108)&lt;5),"",ROUND(SUMPRODUCT(AF108:AJ108,Guia!$B$7:$F$7),1))</f>
        <v/>
      </c>
      <c r="AM108" s="10"/>
      <c r="AN108" s="10"/>
      <c r="AO108" s="7"/>
      <c r="AP108" s="7"/>
      <c r="AQ108" s="7"/>
      <c r="AR108" s="7"/>
      <c r="AS108" s="7"/>
      <c r="AT108" s="7"/>
      <c r="AU108" s="7"/>
    </row>
    <row r="109" spans="1:47" ht="32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8"/>
      <c r="AB109" s="7"/>
      <c r="AC109" s="7"/>
      <c r="AD109" s="7"/>
      <c r="AE109" s="7"/>
      <c r="AF109" s="9"/>
      <c r="AG109" s="9"/>
      <c r="AH109" s="9"/>
      <c r="AI109" s="9"/>
      <c r="AJ109" s="9"/>
      <c r="AK109" s="7"/>
      <c r="AL109" s="10" t="str">
        <f>IF(OR(A109="",COUNT(AF109:AJ109)&lt;5),"",ROUND(SUMPRODUCT(AF109:AJ109,Guia!$B$7:$F$7),1))</f>
        <v/>
      </c>
      <c r="AM109" s="10"/>
      <c r="AN109" s="10"/>
      <c r="AO109" s="7"/>
      <c r="AP109" s="7"/>
      <c r="AQ109" s="7"/>
      <c r="AR109" s="7"/>
      <c r="AS109" s="7"/>
      <c r="AT109" s="7"/>
      <c r="AU109" s="7"/>
    </row>
    <row r="110" spans="1:47" ht="32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8"/>
      <c r="AB110" s="7"/>
      <c r="AC110" s="7"/>
      <c r="AD110" s="7"/>
      <c r="AE110" s="7"/>
      <c r="AF110" s="9"/>
      <c r="AG110" s="9"/>
      <c r="AH110" s="9"/>
      <c r="AI110" s="9"/>
      <c r="AJ110" s="9"/>
      <c r="AK110" s="7"/>
      <c r="AL110" s="10" t="str">
        <f>IF(OR(A110="",COUNT(AF110:AJ110)&lt;5),"",ROUND(SUMPRODUCT(AF110:AJ110,Guia!$B$7:$F$7),1))</f>
        <v/>
      </c>
      <c r="AM110" s="10"/>
      <c r="AN110" s="10"/>
      <c r="AO110" s="7"/>
      <c r="AP110" s="7"/>
      <c r="AQ110" s="7"/>
      <c r="AR110" s="7"/>
      <c r="AS110" s="7"/>
      <c r="AT110" s="7"/>
      <c r="AU110" s="7"/>
    </row>
    <row r="111" spans="1:47" ht="32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8"/>
      <c r="AB111" s="7"/>
      <c r="AC111" s="7"/>
      <c r="AD111" s="7"/>
      <c r="AE111" s="7"/>
      <c r="AF111" s="9"/>
      <c r="AG111" s="9"/>
      <c r="AH111" s="9"/>
      <c r="AI111" s="9"/>
      <c r="AJ111" s="9"/>
      <c r="AK111" s="7"/>
      <c r="AL111" s="10" t="str">
        <f>IF(OR(A111="",COUNT(AF111:AJ111)&lt;5),"",ROUND(SUMPRODUCT(AF111:AJ111,Guia!$B$7:$F$7),1))</f>
        <v/>
      </c>
      <c r="AM111" s="10"/>
      <c r="AN111" s="10"/>
      <c r="AO111" s="7"/>
      <c r="AP111" s="7"/>
      <c r="AQ111" s="7"/>
      <c r="AR111" s="7"/>
      <c r="AS111" s="7"/>
      <c r="AT111" s="7"/>
      <c r="AU111" s="7"/>
    </row>
    <row r="112" spans="1:47" ht="32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8"/>
      <c r="AB112" s="7"/>
      <c r="AC112" s="7"/>
      <c r="AD112" s="7"/>
      <c r="AE112" s="7"/>
      <c r="AF112" s="9"/>
      <c r="AG112" s="9"/>
      <c r="AH112" s="9"/>
      <c r="AI112" s="9"/>
      <c r="AJ112" s="9"/>
      <c r="AK112" s="7"/>
      <c r="AL112" s="10" t="str">
        <f>IF(OR(A112="",COUNT(AF112:AJ112)&lt;5),"",ROUND(SUMPRODUCT(AF112:AJ112,Guia!$B$7:$F$7),1))</f>
        <v/>
      </c>
      <c r="AM112" s="10"/>
      <c r="AN112" s="10"/>
      <c r="AO112" s="7"/>
      <c r="AP112" s="7"/>
      <c r="AQ112" s="7"/>
      <c r="AR112" s="7"/>
      <c r="AS112" s="7"/>
      <c r="AT112" s="7"/>
      <c r="AU112" s="7"/>
    </row>
    <row r="113" spans="1:47" ht="32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8"/>
      <c r="AB113" s="7"/>
      <c r="AC113" s="7"/>
      <c r="AD113" s="7"/>
      <c r="AE113" s="7"/>
      <c r="AF113" s="9"/>
      <c r="AG113" s="9"/>
      <c r="AH113" s="9"/>
      <c r="AI113" s="9"/>
      <c r="AJ113" s="9"/>
      <c r="AK113" s="7"/>
      <c r="AL113" s="10" t="str">
        <f>IF(OR(A113="",COUNT(AF113:AJ113)&lt;5),"",ROUND(SUMPRODUCT(AF113:AJ113,Guia!$B$7:$F$7),1))</f>
        <v/>
      </c>
      <c r="AM113" s="10"/>
      <c r="AN113" s="10"/>
      <c r="AO113" s="7"/>
      <c r="AP113" s="7"/>
      <c r="AQ113" s="7"/>
      <c r="AR113" s="7"/>
      <c r="AS113" s="7"/>
      <c r="AT113" s="7"/>
      <c r="AU113" s="7"/>
    </row>
    <row r="114" spans="1:47" ht="32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8"/>
      <c r="AB114" s="7"/>
      <c r="AC114" s="7"/>
      <c r="AD114" s="7"/>
      <c r="AE114" s="7"/>
      <c r="AF114" s="9"/>
      <c r="AG114" s="9"/>
      <c r="AH114" s="9"/>
      <c r="AI114" s="9"/>
      <c r="AJ114" s="9"/>
      <c r="AK114" s="7"/>
      <c r="AL114" s="10" t="str">
        <f>IF(OR(A114="",COUNT(AF114:AJ114)&lt;5),"",ROUND(SUMPRODUCT(AF114:AJ114,Guia!$B$7:$F$7),1))</f>
        <v/>
      </c>
      <c r="AM114" s="10"/>
      <c r="AN114" s="10"/>
      <c r="AO114" s="7"/>
      <c r="AP114" s="7"/>
      <c r="AQ114" s="7"/>
      <c r="AR114" s="7"/>
      <c r="AS114" s="7"/>
      <c r="AT114" s="7"/>
      <c r="AU114" s="7"/>
    </row>
    <row r="115" spans="1:47" ht="32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8"/>
      <c r="AB115" s="7"/>
      <c r="AC115" s="7"/>
      <c r="AD115" s="7"/>
      <c r="AE115" s="7"/>
      <c r="AF115" s="9"/>
      <c r="AG115" s="9"/>
      <c r="AH115" s="9"/>
      <c r="AI115" s="9"/>
      <c r="AJ115" s="9"/>
      <c r="AK115" s="7"/>
      <c r="AL115" s="10" t="str">
        <f>IF(OR(A115="",COUNT(AF115:AJ115)&lt;5),"",ROUND(SUMPRODUCT(AF115:AJ115,Guia!$B$7:$F$7),1))</f>
        <v/>
      </c>
      <c r="AM115" s="10"/>
      <c r="AN115" s="10"/>
      <c r="AO115" s="7"/>
      <c r="AP115" s="7"/>
      <c r="AQ115" s="7"/>
      <c r="AR115" s="7"/>
      <c r="AS115" s="7"/>
      <c r="AT115" s="7"/>
      <c r="AU115" s="7"/>
    </row>
    <row r="116" spans="1:47" ht="32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8"/>
      <c r="AB116" s="7"/>
      <c r="AC116" s="7"/>
      <c r="AD116" s="7"/>
      <c r="AE116" s="7"/>
      <c r="AF116" s="9"/>
      <c r="AG116" s="9"/>
      <c r="AH116" s="9"/>
      <c r="AI116" s="9"/>
      <c r="AJ116" s="9"/>
      <c r="AK116" s="7"/>
      <c r="AL116" s="10" t="str">
        <f>IF(OR(A116="",COUNT(AF116:AJ116)&lt;5),"",ROUND(SUMPRODUCT(AF116:AJ116,Guia!$B$7:$F$7),1))</f>
        <v/>
      </c>
      <c r="AM116" s="10"/>
      <c r="AN116" s="10"/>
      <c r="AO116" s="7"/>
      <c r="AP116" s="7"/>
      <c r="AQ116" s="7"/>
      <c r="AR116" s="7"/>
      <c r="AS116" s="7"/>
      <c r="AT116" s="7"/>
      <c r="AU116" s="7"/>
    </row>
    <row r="117" spans="1:47" ht="32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8"/>
      <c r="AB117" s="7"/>
      <c r="AC117" s="7"/>
      <c r="AD117" s="7"/>
      <c r="AE117" s="7"/>
      <c r="AF117" s="9"/>
      <c r="AG117" s="9"/>
      <c r="AH117" s="9"/>
      <c r="AI117" s="9"/>
      <c r="AJ117" s="9"/>
      <c r="AK117" s="7"/>
      <c r="AL117" s="10" t="str">
        <f>IF(OR(A117="",COUNT(AF117:AJ117)&lt;5),"",ROUND(SUMPRODUCT(AF117:AJ117,Guia!$B$7:$F$7),1))</f>
        <v/>
      </c>
      <c r="AM117" s="10"/>
      <c r="AN117" s="10"/>
      <c r="AO117" s="7"/>
      <c r="AP117" s="7"/>
      <c r="AQ117" s="7"/>
      <c r="AR117" s="7"/>
      <c r="AS117" s="7"/>
      <c r="AT117" s="7"/>
      <c r="AU117" s="7"/>
    </row>
    <row r="118" spans="1:47" ht="32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8"/>
      <c r="AB118" s="7"/>
      <c r="AC118" s="7"/>
      <c r="AD118" s="7"/>
      <c r="AE118" s="7"/>
      <c r="AF118" s="9"/>
      <c r="AG118" s="9"/>
      <c r="AH118" s="9"/>
      <c r="AI118" s="9"/>
      <c r="AJ118" s="9"/>
      <c r="AK118" s="7"/>
      <c r="AL118" s="10" t="str">
        <f>IF(OR(A118="",COUNT(AF118:AJ118)&lt;5),"",ROUND(SUMPRODUCT(AF118:AJ118,Guia!$B$7:$F$7),1))</f>
        <v/>
      </c>
      <c r="AM118" s="10"/>
      <c r="AN118" s="10"/>
      <c r="AO118" s="7"/>
      <c r="AP118" s="7"/>
      <c r="AQ118" s="7"/>
      <c r="AR118" s="7"/>
      <c r="AS118" s="7"/>
      <c r="AT118" s="7"/>
      <c r="AU118" s="7"/>
    </row>
    <row r="119" spans="1:47" ht="32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8"/>
      <c r="AB119" s="7"/>
      <c r="AC119" s="7"/>
      <c r="AD119" s="7"/>
      <c r="AE119" s="7"/>
      <c r="AF119" s="9"/>
      <c r="AG119" s="9"/>
      <c r="AH119" s="9"/>
      <c r="AI119" s="9"/>
      <c r="AJ119" s="9"/>
      <c r="AK119" s="7"/>
      <c r="AL119" s="10" t="str">
        <f>IF(OR(A119="",COUNT(AF119:AJ119)&lt;5),"",ROUND(SUMPRODUCT(AF119:AJ119,Guia!$B$7:$F$7),1))</f>
        <v/>
      </c>
      <c r="AM119" s="10"/>
      <c r="AN119" s="10"/>
      <c r="AO119" s="7"/>
      <c r="AP119" s="7"/>
      <c r="AQ119" s="7"/>
      <c r="AR119" s="7"/>
      <c r="AS119" s="7"/>
      <c r="AT119" s="7"/>
      <c r="AU119" s="7"/>
    </row>
    <row r="120" spans="1:47" ht="32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8"/>
      <c r="AB120" s="7"/>
      <c r="AC120" s="7"/>
      <c r="AD120" s="7"/>
      <c r="AE120" s="7"/>
      <c r="AF120" s="9"/>
      <c r="AG120" s="9"/>
      <c r="AH120" s="9"/>
      <c r="AI120" s="9"/>
      <c r="AJ120" s="9"/>
      <c r="AK120" s="7"/>
      <c r="AL120" s="10" t="str">
        <f>IF(OR(A120="",COUNT(AF120:AJ120)&lt;5),"",ROUND(SUMPRODUCT(AF120:AJ120,Guia!$B$7:$F$7),1))</f>
        <v/>
      </c>
      <c r="AM120" s="10"/>
      <c r="AN120" s="10"/>
      <c r="AO120" s="7"/>
      <c r="AP120" s="7"/>
      <c r="AQ120" s="7"/>
      <c r="AR120" s="7"/>
      <c r="AS120" s="7"/>
      <c r="AT120" s="7"/>
      <c r="AU120" s="7"/>
    </row>
    <row r="121" spans="1:47" ht="32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8"/>
      <c r="AB121" s="7"/>
      <c r="AC121" s="7"/>
      <c r="AD121" s="7"/>
      <c r="AE121" s="7"/>
      <c r="AF121" s="9"/>
      <c r="AG121" s="9"/>
      <c r="AH121" s="9"/>
      <c r="AI121" s="9"/>
      <c r="AJ121" s="9"/>
      <c r="AK121" s="7"/>
      <c r="AL121" s="10" t="str">
        <f>IF(OR(A121="",COUNT(AF121:AJ121)&lt;5),"",ROUND(SUMPRODUCT(AF121:AJ121,Guia!$B$7:$F$7),1))</f>
        <v/>
      </c>
      <c r="AM121" s="10"/>
      <c r="AN121" s="10"/>
      <c r="AO121" s="7"/>
      <c r="AP121" s="7"/>
      <c r="AQ121" s="7"/>
      <c r="AR121" s="7"/>
      <c r="AS121" s="7"/>
      <c r="AT121" s="7"/>
      <c r="AU121" s="7"/>
    </row>
    <row r="122" spans="1:47" ht="32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8"/>
      <c r="AB122" s="7"/>
      <c r="AC122" s="7"/>
      <c r="AD122" s="7"/>
      <c r="AE122" s="7"/>
      <c r="AF122" s="9"/>
      <c r="AG122" s="9"/>
      <c r="AH122" s="9"/>
      <c r="AI122" s="9"/>
      <c r="AJ122" s="9"/>
      <c r="AK122" s="7"/>
      <c r="AL122" s="10" t="str">
        <f>IF(OR(A122="",COUNT(AF122:AJ122)&lt;5),"",ROUND(SUMPRODUCT(AF122:AJ122,Guia!$B$7:$F$7),1))</f>
        <v/>
      </c>
      <c r="AM122" s="10"/>
      <c r="AN122" s="10"/>
      <c r="AO122" s="7"/>
      <c r="AP122" s="7"/>
      <c r="AQ122" s="7"/>
      <c r="AR122" s="7"/>
      <c r="AS122" s="7"/>
      <c r="AT122" s="7"/>
      <c r="AU122" s="7"/>
    </row>
    <row r="123" spans="1:47" ht="32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8"/>
      <c r="AB123" s="7"/>
      <c r="AC123" s="7"/>
      <c r="AD123" s="7"/>
      <c r="AE123" s="7"/>
      <c r="AF123" s="9"/>
      <c r="AG123" s="9"/>
      <c r="AH123" s="9"/>
      <c r="AI123" s="9"/>
      <c r="AJ123" s="9"/>
      <c r="AK123" s="7"/>
      <c r="AL123" s="10" t="str">
        <f>IF(OR(A123="",COUNT(AF123:AJ123)&lt;5),"",ROUND(SUMPRODUCT(AF123:AJ123,Guia!$B$7:$F$7),1))</f>
        <v/>
      </c>
      <c r="AM123" s="10"/>
      <c r="AN123" s="10"/>
      <c r="AO123" s="7"/>
      <c r="AP123" s="7"/>
      <c r="AQ123" s="7"/>
      <c r="AR123" s="7"/>
      <c r="AS123" s="7"/>
      <c r="AT123" s="7"/>
      <c r="AU123" s="7"/>
    </row>
    <row r="124" spans="1:47" ht="32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8"/>
      <c r="AB124" s="7"/>
      <c r="AC124" s="7"/>
      <c r="AD124" s="7"/>
      <c r="AE124" s="7"/>
      <c r="AF124" s="9"/>
      <c r="AG124" s="9"/>
      <c r="AH124" s="9"/>
      <c r="AI124" s="9"/>
      <c r="AJ124" s="9"/>
      <c r="AK124" s="7"/>
      <c r="AL124" s="10" t="str">
        <f>IF(OR(A124="",COUNT(AF124:AJ124)&lt;5),"",ROUND(SUMPRODUCT(AF124:AJ124,Guia!$B$7:$F$7),1))</f>
        <v/>
      </c>
      <c r="AM124" s="10"/>
      <c r="AN124" s="10"/>
      <c r="AO124" s="7"/>
      <c r="AP124" s="7"/>
      <c r="AQ124" s="7"/>
      <c r="AR124" s="7"/>
      <c r="AS124" s="7"/>
      <c r="AT124" s="7"/>
      <c r="AU124" s="7"/>
    </row>
    <row r="125" spans="1:47" ht="32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8"/>
      <c r="AB125" s="7"/>
      <c r="AC125" s="7"/>
      <c r="AD125" s="7"/>
      <c r="AE125" s="7"/>
      <c r="AF125" s="9"/>
      <c r="AG125" s="9"/>
      <c r="AH125" s="9"/>
      <c r="AI125" s="9"/>
      <c r="AJ125" s="9"/>
      <c r="AK125" s="7"/>
      <c r="AL125" s="10" t="str">
        <f>IF(OR(A125="",COUNT(AF125:AJ125)&lt;5),"",ROUND(SUMPRODUCT(AF125:AJ125,Guia!$B$7:$F$7),1))</f>
        <v/>
      </c>
      <c r="AM125" s="10"/>
      <c r="AN125" s="10"/>
      <c r="AO125" s="7"/>
      <c r="AP125" s="7"/>
      <c r="AQ125" s="7"/>
      <c r="AR125" s="7"/>
      <c r="AS125" s="7"/>
      <c r="AT125" s="7"/>
      <c r="AU125" s="7"/>
    </row>
    <row r="126" spans="1:47" ht="32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8"/>
      <c r="AB126" s="7"/>
      <c r="AC126" s="7"/>
      <c r="AD126" s="7"/>
      <c r="AE126" s="7"/>
      <c r="AF126" s="9"/>
      <c r="AG126" s="9"/>
      <c r="AH126" s="9"/>
      <c r="AI126" s="9"/>
      <c r="AJ126" s="9"/>
      <c r="AK126" s="7"/>
      <c r="AL126" s="10" t="str">
        <f>IF(OR(A126="",COUNT(AF126:AJ126)&lt;5),"",ROUND(SUMPRODUCT(AF126:AJ126,Guia!$B$7:$F$7),1))</f>
        <v/>
      </c>
      <c r="AM126" s="10"/>
      <c r="AN126" s="10"/>
      <c r="AO126" s="7"/>
      <c r="AP126" s="7"/>
      <c r="AQ126" s="7"/>
      <c r="AR126" s="7"/>
      <c r="AS126" s="7"/>
      <c r="AT126" s="7"/>
      <c r="AU126" s="7"/>
    </row>
    <row r="127" spans="1:47" ht="32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8"/>
      <c r="AB127" s="7"/>
      <c r="AC127" s="7"/>
      <c r="AD127" s="7"/>
      <c r="AE127" s="7"/>
      <c r="AF127" s="9"/>
      <c r="AG127" s="9"/>
      <c r="AH127" s="9"/>
      <c r="AI127" s="9"/>
      <c r="AJ127" s="9"/>
      <c r="AK127" s="7"/>
      <c r="AL127" s="10" t="str">
        <f>IF(OR(A127="",COUNT(AF127:AJ127)&lt;5),"",ROUND(SUMPRODUCT(AF127:AJ127,Guia!$B$7:$F$7),1))</f>
        <v/>
      </c>
      <c r="AM127" s="10"/>
      <c r="AN127" s="10"/>
      <c r="AO127" s="7"/>
      <c r="AP127" s="7"/>
      <c r="AQ127" s="7"/>
      <c r="AR127" s="7"/>
      <c r="AS127" s="7"/>
      <c r="AT127" s="7"/>
      <c r="AU127" s="7"/>
    </row>
    <row r="128" spans="1:47" ht="32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8"/>
      <c r="AB128" s="7"/>
      <c r="AC128" s="7"/>
      <c r="AD128" s="7"/>
      <c r="AE128" s="7"/>
      <c r="AF128" s="9"/>
      <c r="AG128" s="9"/>
      <c r="AH128" s="9"/>
      <c r="AI128" s="9"/>
      <c r="AJ128" s="9"/>
      <c r="AK128" s="7"/>
      <c r="AL128" s="10" t="str">
        <f>IF(OR(A128="",COUNT(AF128:AJ128)&lt;5),"",ROUND(SUMPRODUCT(AF128:AJ128,Guia!$B$7:$F$7),1))</f>
        <v/>
      </c>
      <c r="AM128" s="10"/>
      <c r="AN128" s="10"/>
      <c r="AO128" s="7"/>
      <c r="AP128" s="7"/>
      <c r="AQ128" s="7"/>
      <c r="AR128" s="7"/>
      <c r="AS128" s="7"/>
      <c r="AT128" s="7"/>
      <c r="AU128" s="7"/>
    </row>
    <row r="129" spans="1:47" ht="32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8"/>
      <c r="AB129" s="7"/>
      <c r="AC129" s="7"/>
      <c r="AD129" s="7"/>
      <c r="AE129" s="7"/>
      <c r="AF129" s="9"/>
      <c r="AG129" s="9"/>
      <c r="AH129" s="9"/>
      <c r="AI129" s="9"/>
      <c r="AJ129" s="9"/>
      <c r="AK129" s="7"/>
      <c r="AL129" s="10" t="str">
        <f>IF(OR(A129="",COUNT(AF129:AJ129)&lt;5),"",ROUND(SUMPRODUCT(AF129:AJ129,Guia!$B$7:$F$7),1))</f>
        <v/>
      </c>
      <c r="AM129" s="10"/>
      <c r="AN129" s="10"/>
      <c r="AO129" s="7"/>
      <c r="AP129" s="7"/>
      <c r="AQ129" s="7"/>
      <c r="AR129" s="7"/>
      <c r="AS129" s="7"/>
      <c r="AT129" s="7"/>
      <c r="AU129" s="7"/>
    </row>
    <row r="130" spans="1:47" ht="32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8"/>
      <c r="AB130" s="7"/>
      <c r="AC130" s="7"/>
      <c r="AD130" s="7"/>
      <c r="AE130" s="7"/>
      <c r="AF130" s="9"/>
      <c r="AG130" s="9"/>
      <c r="AH130" s="9"/>
      <c r="AI130" s="9"/>
      <c r="AJ130" s="9"/>
      <c r="AK130" s="7"/>
      <c r="AL130" s="10" t="str">
        <f>IF(OR(A130="",COUNT(AF130:AJ130)&lt;5),"",ROUND(SUMPRODUCT(AF130:AJ130,Guia!$B$7:$F$7),1))</f>
        <v/>
      </c>
      <c r="AM130" s="10"/>
      <c r="AN130" s="10"/>
      <c r="AO130" s="7"/>
      <c r="AP130" s="7"/>
      <c r="AQ130" s="7"/>
      <c r="AR130" s="7"/>
      <c r="AS130" s="7"/>
      <c r="AT130" s="7"/>
      <c r="AU130" s="7"/>
    </row>
    <row r="131" spans="1:47" ht="32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8"/>
      <c r="AB131" s="7"/>
      <c r="AC131" s="7"/>
      <c r="AD131" s="7"/>
      <c r="AE131" s="7"/>
      <c r="AF131" s="9"/>
      <c r="AG131" s="9"/>
      <c r="AH131" s="9"/>
      <c r="AI131" s="9"/>
      <c r="AJ131" s="9"/>
      <c r="AK131" s="7"/>
      <c r="AL131" s="10" t="str">
        <f>IF(OR(A131="",COUNT(AF131:AJ131)&lt;5),"",ROUND(SUMPRODUCT(AF131:AJ131,Guia!$B$7:$F$7),1))</f>
        <v/>
      </c>
      <c r="AM131" s="10"/>
      <c r="AN131" s="10"/>
      <c r="AO131" s="7"/>
      <c r="AP131" s="7"/>
      <c r="AQ131" s="7"/>
      <c r="AR131" s="7"/>
      <c r="AS131" s="7"/>
      <c r="AT131" s="7"/>
      <c r="AU131" s="7"/>
    </row>
    <row r="132" spans="1:47" ht="32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8"/>
      <c r="AB132" s="7"/>
      <c r="AC132" s="7"/>
      <c r="AD132" s="7"/>
      <c r="AE132" s="7"/>
      <c r="AF132" s="9"/>
      <c r="AG132" s="9"/>
      <c r="AH132" s="9"/>
      <c r="AI132" s="9"/>
      <c r="AJ132" s="9"/>
      <c r="AK132" s="7"/>
      <c r="AL132" s="10" t="str">
        <f>IF(OR(A132="",COUNT(AF132:AJ132)&lt;5),"",ROUND(SUMPRODUCT(AF132:AJ132,Guia!$B$7:$F$7),1))</f>
        <v/>
      </c>
      <c r="AM132" s="10"/>
      <c r="AN132" s="10"/>
      <c r="AO132" s="7"/>
      <c r="AP132" s="7"/>
      <c r="AQ132" s="7"/>
      <c r="AR132" s="7"/>
      <c r="AS132" s="7"/>
      <c r="AT132" s="7"/>
      <c r="AU132" s="7"/>
    </row>
    <row r="133" spans="1:47" ht="32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8"/>
      <c r="AB133" s="7"/>
      <c r="AC133" s="7"/>
      <c r="AD133" s="7"/>
      <c r="AE133" s="7"/>
      <c r="AF133" s="9"/>
      <c r="AG133" s="9"/>
      <c r="AH133" s="9"/>
      <c r="AI133" s="9"/>
      <c r="AJ133" s="9"/>
      <c r="AK133" s="7"/>
      <c r="AL133" s="10" t="str">
        <f>IF(OR(A133="",COUNT(AF133:AJ133)&lt;5),"",ROUND(SUMPRODUCT(AF133:AJ133,Guia!$B$7:$F$7),1))</f>
        <v/>
      </c>
      <c r="AM133" s="10"/>
      <c r="AN133" s="10"/>
      <c r="AO133" s="7"/>
      <c r="AP133" s="7"/>
      <c r="AQ133" s="7"/>
      <c r="AR133" s="7"/>
      <c r="AS133" s="7"/>
      <c r="AT133" s="7"/>
      <c r="AU133" s="7"/>
    </row>
    <row r="134" spans="1:47" ht="3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8"/>
      <c r="AB134" s="7"/>
      <c r="AC134" s="7"/>
      <c r="AD134" s="7"/>
      <c r="AE134" s="7"/>
      <c r="AF134" s="9"/>
      <c r="AG134" s="9"/>
      <c r="AH134" s="9"/>
      <c r="AI134" s="9"/>
      <c r="AJ134" s="9"/>
      <c r="AK134" s="7"/>
      <c r="AL134" s="10" t="str">
        <f>IF(OR(A134="",COUNT(AF134:AJ134)&lt;5),"",ROUND(SUMPRODUCT(AF134:AJ134,Guia!$B$7:$F$7),1))</f>
        <v/>
      </c>
      <c r="AM134" s="10"/>
      <c r="AN134" s="10"/>
      <c r="AO134" s="7"/>
      <c r="AP134" s="7"/>
      <c r="AQ134" s="7"/>
      <c r="AR134" s="7"/>
      <c r="AS134" s="7"/>
      <c r="AT134" s="7"/>
      <c r="AU134" s="7"/>
    </row>
    <row r="135" spans="1:47" ht="32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8"/>
      <c r="AB135" s="7"/>
      <c r="AC135" s="7"/>
      <c r="AD135" s="7"/>
      <c r="AE135" s="7"/>
      <c r="AF135" s="9"/>
      <c r="AG135" s="9"/>
      <c r="AH135" s="9"/>
      <c r="AI135" s="9"/>
      <c r="AJ135" s="9"/>
      <c r="AK135" s="7"/>
      <c r="AL135" s="10" t="str">
        <f>IF(OR(A135="",COUNT(AF135:AJ135)&lt;5),"",ROUND(SUMPRODUCT(AF135:AJ135,Guia!$B$7:$F$7),1))</f>
        <v/>
      </c>
      <c r="AM135" s="10"/>
      <c r="AN135" s="10"/>
      <c r="AO135" s="7"/>
      <c r="AP135" s="7"/>
      <c r="AQ135" s="7"/>
      <c r="AR135" s="7"/>
      <c r="AS135" s="7"/>
      <c r="AT135" s="7"/>
      <c r="AU135" s="7"/>
    </row>
    <row r="136" spans="1:47" ht="32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8"/>
      <c r="AB136" s="7"/>
      <c r="AC136" s="7"/>
      <c r="AD136" s="7"/>
      <c r="AE136" s="7"/>
      <c r="AF136" s="9"/>
      <c r="AG136" s="9"/>
      <c r="AH136" s="9"/>
      <c r="AI136" s="9"/>
      <c r="AJ136" s="9"/>
      <c r="AK136" s="7"/>
      <c r="AL136" s="10" t="str">
        <f>IF(OR(A136="",COUNT(AF136:AJ136)&lt;5),"",ROUND(SUMPRODUCT(AF136:AJ136,Guia!$B$7:$F$7),1))</f>
        <v/>
      </c>
      <c r="AM136" s="10"/>
      <c r="AN136" s="10"/>
      <c r="AO136" s="7"/>
      <c r="AP136" s="7"/>
      <c r="AQ136" s="7"/>
      <c r="AR136" s="7"/>
      <c r="AS136" s="7"/>
      <c r="AT136" s="7"/>
      <c r="AU136" s="7"/>
    </row>
    <row r="137" spans="1:47" ht="32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8"/>
      <c r="AB137" s="7"/>
      <c r="AC137" s="7"/>
      <c r="AD137" s="7"/>
      <c r="AE137" s="7"/>
      <c r="AF137" s="9"/>
      <c r="AG137" s="9"/>
      <c r="AH137" s="9"/>
      <c r="AI137" s="9"/>
      <c r="AJ137" s="9"/>
      <c r="AK137" s="7"/>
      <c r="AL137" s="10" t="str">
        <f>IF(OR(A137="",COUNT(AF137:AJ137)&lt;5),"",ROUND(SUMPRODUCT(AF137:AJ137,Guia!$B$7:$F$7),1))</f>
        <v/>
      </c>
      <c r="AM137" s="10"/>
      <c r="AN137" s="10"/>
      <c r="AO137" s="7"/>
      <c r="AP137" s="7"/>
      <c r="AQ137" s="7"/>
      <c r="AR137" s="7"/>
      <c r="AS137" s="7"/>
      <c r="AT137" s="7"/>
      <c r="AU137" s="7"/>
    </row>
    <row r="138" spans="1:47" ht="32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8"/>
      <c r="AB138" s="7"/>
      <c r="AC138" s="7"/>
      <c r="AD138" s="7"/>
      <c r="AE138" s="7"/>
      <c r="AF138" s="9"/>
      <c r="AG138" s="9"/>
      <c r="AH138" s="9"/>
      <c r="AI138" s="9"/>
      <c r="AJ138" s="9"/>
      <c r="AK138" s="7"/>
      <c r="AL138" s="10" t="str">
        <f>IF(OR(A138="",COUNT(AF138:AJ138)&lt;5),"",ROUND(SUMPRODUCT(AF138:AJ138,Guia!$B$7:$F$7),1))</f>
        <v/>
      </c>
      <c r="AM138" s="10"/>
      <c r="AN138" s="10"/>
      <c r="AO138" s="7"/>
      <c r="AP138" s="7"/>
      <c r="AQ138" s="7"/>
      <c r="AR138" s="7"/>
      <c r="AS138" s="7"/>
      <c r="AT138" s="7"/>
      <c r="AU138" s="7"/>
    </row>
    <row r="139" spans="1:47" ht="32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8"/>
      <c r="AB139" s="7"/>
      <c r="AC139" s="7"/>
      <c r="AD139" s="7"/>
      <c r="AE139" s="7"/>
      <c r="AF139" s="9"/>
      <c r="AG139" s="9"/>
      <c r="AH139" s="9"/>
      <c r="AI139" s="9"/>
      <c r="AJ139" s="9"/>
      <c r="AK139" s="7"/>
      <c r="AL139" s="10" t="str">
        <f>IF(OR(A139="",COUNT(AF139:AJ139)&lt;5),"",ROUND(SUMPRODUCT(AF139:AJ139,Guia!$B$7:$F$7),1))</f>
        <v/>
      </c>
      <c r="AM139" s="10"/>
      <c r="AN139" s="10"/>
      <c r="AO139" s="7"/>
      <c r="AP139" s="7"/>
      <c r="AQ139" s="7"/>
      <c r="AR139" s="7"/>
      <c r="AS139" s="7"/>
      <c r="AT139" s="7"/>
      <c r="AU139" s="7"/>
    </row>
    <row r="140" spans="1:47" ht="32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8"/>
      <c r="AB140" s="7"/>
      <c r="AC140" s="7"/>
      <c r="AD140" s="7"/>
      <c r="AE140" s="7"/>
      <c r="AF140" s="9"/>
      <c r="AG140" s="9"/>
      <c r="AH140" s="9"/>
      <c r="AI140" s="9"/>
      <c r="AJ140" s="9"/>
      <c r="AK140" s="7"/>
      <c r="AL140" s="10" t="str">
        <f>IF(OR(A140="",COUNT(AF140:AJ140)&lt;5),"",ROUND(SUMPRODUCT(AF140:AJ140,Guia!$B$7:$F$7),1))</f>
        <v/>
      </c>
      <c r="AM140" s="10"/>
      <c r="AN140" s="10"/>
      <c r="AO140" s="7"/>
      <c r="AP140" s="7"/>
      <c r="AQ140" s="7"/>
      <c r="AR140" s="7"/>
      <c r="AS140" s="7"/>
      <c r="AT140" s="7"/>
      <c r="AU140" s="7"/>
    </row>
    <row r="141" spans="1:47" ht="32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8"/>
      <c r="AB141" s="7"/>
      <c r="AC141" s="7"/>
      <c r="AD141" s="7"/>
      <c r="AE141" s="7"/>
      <c r="AF141" s="9"/>
      <c r="AG141" s="9"/>
      <c r="AH141" s="9"/>
      <c r="AI141" s="9"/>
      <c r="AJ141" s="9"/>
      <c r="AK141" s="7"/>
      <c r="AL141" s="10" t="str">
        <f>IF(OR(A141="",COUNT(AF141:AJ141)&lt;5),"",ROUND(SUMPRODUCT(AF141:AJ141,Guia!$B$7:$F$7),1))</f>
        <v/>
      </c>
      <c r="AM141" s="10"/>
      <c r="AN141" s="10"/>
      <c r="AO141" s="7"/>
      <c r="AP141" s="7"/>
      <c r="AQ141" s="7"/>
      <c r="AR141" s="7"/>
      <c r="AS141" s="7"/>
      <c r="AT141" s="7"/>
      <c r="AU141" s="7"/>
    </row>
    <row r="142" spans="1:47" ht="32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8"/>
      <c r="AB142" s="7"/>
      <c r="AC142" s="7"/>
      <c r="AD142" s="7"/>
      <c r="AE142" s="7"/>
      <c r="AF142" s="9"/>
      <c r="AG142" s="9"/>
      <c r="AH142" s="9"/>
      <c r="AI142" s="9"/>
      <c r="AJ142" s="9"/>
      <c r="AK142" s="7"/>
      <c r="AL142" s="10" t="str">
        <f>IF(OR(A142="",COUNT(AF142:AJ142)&lt;5),"",ROUND(SUMPRODUCT(AF142:AJ142,Guia!$B$7:$F$7),1))</f>
        <v/>
      </c>
      <c r="AM142" s="10"/>
      <c r="AN142" s="10"/>
      <c r="AO142" s="7"/>
      <c r="AP142" s="7"/>
      <c r="AQ142" s="7"/>
      <c r="AR142" s="7"/>
      <c r="AS142" s="7"/>
      <c r="AT142" s="7"/>
      <c r="AU142" s="7"/>
    </row>
    <row r="143" spans="1:47" ht="32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8"/>
      <c r="AB143" s="7"/>
      <c r="AC143" s="7"/>
      <c r="AD143" s="7"/>
      <c r="AE143" s="7"/>
      <c r="AF143" s="9"/>
      <c r="AG143" s="9"/>
      <c r="AH143" s="9"/>
      <c r="AI143" s="9"/>
      <c r="AJ143" s="9"/>
      <c r="AK143" s="7"/>
      <c r="AL143" s="10" t="str">
        <f>IF(OR(A143="",COUNT(AF143:AJ143)&lt;5),"",ROUND(SUMPRODUCT(AF143:AJ143,Guia!$B$7:$F$7),1))</f>
        <v/>
      </c>
      <c r="AM143" s="10"/>
      <c r="AN143" s="10"/>
      <c r="AO143" s="7"/>
      <c r="AP143" s="7"/>
      <c r="AQ143" s="7"/>
      <c r="AR143" s="7"/>
      <c r="AS143" s="7"/>
      <c r="AT143" s="7"/>
      <c r="AU143" s="7"/>
    </row>
    <row r="144" spans="1:47" ht="32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8"/>
      <c r="AB144" s="7"/>
      <c r="AC144" s="7"/>
      <c r="AD144" s="7"/>
      <c r="AE144" s="7"/>
      <c r="AF144" s="9"/>
      <c r="AG144" s="9"/>
      <c r="AH144" s="9"/>
      <c r="AI144" s="9"/>
      <c r="AJ144" s="9"/>
      <c r="AK144" s="7"/>
      <c r="AL144" s="10" t="str">
        <f>IF(OR(A144="",COUNT(AF144:AJ144)&lt;5),"",ROUND(SUMPRODUCT(AF144:AJ144,Guia!$B$7:$F$7),1))</f>
        <v/>
      </c>
      <c r="AM144" s="10"/>
      <c r="AN144" s="10"/>
      <c r="AO144" s="7"/>
      <c r="AP144" s="7"/>
      <c r="AQ144" s="7"/>
      <c r="AR144" s="7"/>
      <c r="AS144" s="7"/>
      <c r="AT144" s="7"/>
      <c r="AU144" s="7"/>
    </row>
    <row r="145" spans="1:47" ht="32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8"/>
      <c r="AB145" s="7"/>
      <c r="AC145" s="7"/>
      <c r="AD145" s="7"/>
      <c r="AE145" s="7"/>
      <c r="AF145" s="9"/>
      <c r="AG145" s="9"/>
      <c r="AH145" s="9"/>
      <c r="AI145" s="9"/>
      <c r="AJ145" s="9"/>
      <c r="AK145" s="7"/>
      <c r="AL145" s="10" t="str">
        <f>IF(OR(A145="",COUNT(AF145:AJ145)&lt;5),"",ROUND(SUMPRODUCT(AF145:AJ145,Guia!$B$7:$F$7),1))</f>
        <v/>
      </c>
      <c r="AM145" s="10"/>
      <c r="AN145" s="10"/>
      <c r="AO145" s="7"/>
      <c r="AP145" s="7"/>
      <c r="AQ145" s="7"/>
      <c r="AR145" s="7"/>
      <c r="AS145" s="7"/>
      <c r="AT145" s="7"/>
      <c r="AU145" s="7"/>
    </row>
    <row r="146" spans="1:47" ht="32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8"/>
      <c r="AB146" s="7"/>
      <c r="AC146" s="7"/>
      <c r="AD146" s="7"/>
      <c r="AE146" s="7"/>
      <c r="AF146" s="9"/>
      <c r="AG146" s="9"/>
      <c r="AH146" s="9"/>
      <c r="AI146" s="9"/>
      <c r="AJ146" s="9"/>
      <c r="AK146" s="7"/>
      <c r="AL146" s="10" t="str">
        <f>IF(OR(A146="",COUNT(AF146:AJ146)&lt;5),"",ROUND(SUMPRODUCT(AF146:AJ146,Guia!$B$7:$F$7),1))</f>
        <v/>
      </c>
      <c r="AM146" s="10"/>
      <c r="AN146" s="10"/>
      <c r="AO146" s="7"/>
      <c r="AP146" s="7"/>
      <c r="AQ146" s="7"/>
      <c r="AR146" s="7"/>
      <c r="AS146" s="7"/>
      <c r="AT146" s="7"/>
      <c r="AU146" s="7"/>
    </row>
    <row r="147" spans="1:47" ht="32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8"/>
      <c r="AB147" s="7"/>
      <c r="AC147" s="7"/>
      <c r="AD147" s="7"/>
      <c r="AE147" s="7"/>
      <c r="AF147" s="9"/>
      <c r="AG147" s="9"/>
      <c r="AH147" s="9"/>
      <c r="AI147" s="9"/>
      <c r="AJ147" s="9"/>
      <c r="AK147" s="7"/>
      <c r="AL147" s="10" t="str">
        <f>IF(OR(A147="",COUNT(AF147:AJ147)&lt;5),"",ROUND(SUMPRODUCT(AF147:AJ147,Guia!$B$7:$F$7),1))</f>
        <v/>
      </c>
      <c r="AM147" s="10"/>
      <c r="AN147" s="10"/>
      <c r="AO147" s="7"/>
      <c r="AP147" s="7"/>
      <c r="AQ147" s="7"/>
      <c r="AR147" s="7"/>
      <c r="AS147" s="7"/>
      <c r="AT147" s="7"/>
      <c r="AU147" s="7"/>
    </row>
    <row r="148" spans="1:47" ht="32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8"/>
      <c r="AB148" s="7"/>
      <c r="AC148" s="7"/>
      <c r="AD148" s="7"/>
      <c r="AE148" s="7"/>
      <c r="AF148" s="9"/>
      <c r="AG148" s="9"/>
      <c r="AH148" s="9"/>
      <c r="AI148" s="9"/>
      <c r="AJ148" s="9"/>
      <c r="AK148" s="7"/>
      <c r="AL148" s="10" t="str">
        <f>IF(OR(A148="",COUNT(AF148:AJ148)&lt;5),"",ROUND(SUMPRODUCT(AF148:AJ148,Guia!$B$7:$F$7),1))</f>
        <v/>
      </c>
      <c r="AM148" s="10"/>
      <c r="AN148" s="10"/>
      <c r="AO148" s="7"/>
      <c r="AP148" s="7"/>
      <c r="AQ148" s="7"/>
      <c r="AR148" s="7"/>
      <c r="AS148" s="7"/>
      <c r="AT148" s="7"/>
      <c r="AU148" s="7"/>
    </row>
    <row r="149" spans="1:47" ht="32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8"/>
      <c r="AB149" s="7"/>
      <c r="AC149" s="7"/>
      <c r="AD149" s="7"/>
      <c r="AE149" s="7"/>
      <c r="AF149" s="9"/>
      <c r="AG149" s="9"/>
      <c r="AH149" s="9"/>
      <c r="AI149" s="9"/>
      <c r="AJ149" s="9"/>
      <c r="AK149" s="7"/>
      <c r="AL149" s="10" t="str">
        <f>IF(OR(A149="",COUNT(AF149:AJ149)&lt;5),"",ROUND(SUMPRODUCT(AF149:AJ149,Guia!$B$7:$F$7),1))</f>
        <v/>
      </c>
      <c r="AM149" s="10"/>
      <c r="AN149" s="10"/>
      <c r="AO149" s="7"/>
      <c r="AP149" s="7"/>
      <c r="AQ149" s="7"/>
      <c r="AR149" s="7"/>
      <c r="AS149" s="7"/>
      <c r="AT149" s="7"/>
      <c r="AU149" s="7"/>
    </row>
    <row r="150" spans="1:47" ht="32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8"/>
      <c r="AB150" s="7"/>
      <c r="AC150" s="7"/>
      <c r="AD150" s="7"/>
      <c r="AE150" s="7"/>
      <c r="AF150" s="9"/>
      <c r="AG150" s="9"/>
      <c r="AH150" s="9"/>
      <c r="AI150" s="9"/>
      <c r="AJ150" s="9"/>
      <c r="AK150" s="7"/>
      <c r="AL150" s="10" t="str">
        <f>IF(OR(A150="",COUNT(AF150:AJ150)&lt;5),"",ROUND(SUMPRODUCT(AF150:AJ150,Guia!$B$7:$F$7),1))</f>
        <v/>
      </c>
      <c r="AM150" s="10"/>
      <c r="AN150" s="10"/>
      <c r="AO150" s="7"/>
      <c r="AP150" s="7"/>
      <c r="AQ150" s="7"/>
      <c r="AR150" s="7"/>
      <c r="AS150" s="7"/>
      <c r="AT150" s="7"/>
      <c r="AU150" s="7"/>
    </row>
    <row r="151" spans="1:47" ht="32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8"/>
      <c r="AB151" s="7"/>
      <c r="AC151" s="7"/>
      <c r="AD151" s="7"/>
      <c r="AE151" s="7"/>
      <c r="AF151" s="9"/>
      <c r="AG151" s="9"/>
      <c r="AH151" s="9"/>
      <c r="AI151" s="9"/>
      <c r="AJ151" s="9"/>
      <c r="AK151" s="7"/>
      <c r="AL151" s="10" t="str">
        <f>IF(OR(A151="",COUNT(AF151:AJ151)&lt;5),"",ROUND(SUMPRODUCT(AF151:AJ151,Guia!$B$7:$F$7),1))</f>
        <v/>
      </c>
      <c r="AM151" s="10"/>
      <c r="AN151" s="10"/>
      <c r="AO151" s="7"/>
      <c r="AP151" s="7"/>
      <c r="AQ151" s="7"/>
      <c r="AR151" s="7"/>
      <c r="AS151" s="7"/>
      <c r="AT151" s="7"/>
      <c r="AU151" s="7"/>
    </row>
    <row r="152" spans="1:47" ht="32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8"/>
      <c r="AB152" s="7"/>
      <c r="AC152" s="7"/>
      <c r="AD152" s="7"/>
      <c r="AE152" s="7"/>
      <c r="AF152" s="9"/>
      <c r="AG152" s="9"/>
      <c r="AH152" s="9"/>
      <c r="AI152" s="9"/>
      <c r="AJ152" s="9"/>
      <c r="AK152" s="7"/>
      <c r="AL152" s="10" t="str">
        <f>IF(OR(A152="",COUNT(AF152:AJ152)&lt;5),"",ROUND(SUMPRODUCT(AF152:AJ152,Guia!$B$7:$F$7),1))</f>
        <v/>
      </c>
      <c r="AM152" s="10"/>
      <c r="AN152" s="10"/>
      <c r="AO152" s="7"/>
      <c r="AP152" s="7"/>
      <c r="AQ152" s="7"/>
      <c r="AR152" s="7"/>
      <c r="AS152" s="7"/>
      <c r="AT152" s="7"/>
      <c r="AU152" s="7"/>
    </row>
    <row r="153" spans="1:47" ht="32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8"/>
      <c r="AB153" s="7"/>
      <c r="AC153" s="7"/>
      <c r="AD153" s="7"/>
      <c r="AE153" s="7"/>
      <c r="AF153" s="9"/>
      <c r="AG153" s="9"/>
      <c r="AH153" s="9"/>
      <c r="AI153" s="9"/>
      <c r="AJ153" s="9"/>
      <c r="AK153" s="7"/>
      <c r="AL153" s="10" t="str">
        <f>IF(OR(A153="",COUNT(AF153:AJ153)&lt;5),"",ROUND(SUMPRODUCT(AF153:AJ153,Guia!$B$7:$F$7),1))</f>
        <v/>
      </c>
      <c r="AM153" s="10"/>
      <c r="AN153" s="10"/>
      <c r="AO153" s="7"/>
      <c r="AP153" s="7"/>
      <c r="AQ153" s="7"/>
      <c r="AR153" s="7"/>
      <c r="AS153" s="7"/>
      <c r="AT153" s="7"/>
      <c r="AU153" s="7"/>
    </row>
    <row r="154" spans="1:47" ht="32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8"/>
      <c r="AB154" s="7"/>
      <c r="AC154" s="7"/>
      <c r="AD154" s="7"/>
      <c r="AE154" s="7"/>
      <c r="AF154" s="9"/>
      <c r="AG154" s="9"/>
      <c r="AH154" s="9"/>
      <c r="AI154" s="9"/>
      <c r="AJ154" s="9"/>
      <c r="AK154" s="7"/>
      <c r="AL154" s="10" t="str">
        <f>IF(OR(A154="",COUNT(AF154:AJ154)&lt;5),"",ROUND(SUMPRODUCT(AF154:AJ154,Guia!$B$7:$F$7),1))</f>
        <v/>
      </c>
      <c r="AM154" s="10"/>
      <c r="AN154" s="10"/>
      <c r="AO154" s="7"/>
      <c r="AP154" s="7"/>
      <c r="AQ154" s="7"/>
      <c r="AR154" s="7"/>
      <c r="AS154" s="7"/>
      <c r="AT154" s="7"/>
      <c r="AU154" s="7"/>
    </row>
    <row r="155" spans="1:47" ht="32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8"/>
      <c r="AB155" s="7"/>
      <c r="AC155" s="7"/>
      <c r="AD155" s="7"/>
      <c r="AE155" s="7"/>
      <c r="AF155" s="9"/>
      <c r="AG155" s="9"/>
      <c r="AH155" s="9"/>
      <c r="AI155" s="9"/>
      <c r="AJ155" s="9"/>
      <c r="AK155" s="7"/>
      <c r="AL155" s="10" t="str">
        <f>IF(OR(A155="",COUNT(AF155:AJ155)&lt;5),"",ROUND(SUMPRODUCT(AF155:AJ155,Guia!$B$7:$F$7),1))</f>
        <v/>
      </c>
      <c r="AM155" s="10"/>
      <c r="AN155" s="10"/>
      <c r="AO155" s="7"/>
      <c r="AP155" s="7"/>
      <c r="AQ155" s="7"/>
      <c r="AR155" s="7"/>
      <c r="AS155" s="7"/>
      <c r="AT155" s="7"/>
      <c r="AU155" s="7"/>
    </row>
    <row r="156" spans="1:47" ht="32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8"/>
      <c r="AB156" s="7"/>
      <c r="AC156" s="7"/>
      <c r="AD156" s="7"/>
      <c r="AE156" s="7"/>
      <c r="AF156" s="9"/>
      <c r="AG156" s="9"/>
      <c r="AH156" s="9"/>
      <c r="AI156" s="9"/>
      <c r="AJ156" s="9"/>
      <c r="AK156" s="7"/>
      <c r="AL156" s="10" t="str">
        <f>IF(OR(A156="",COUNT(AF156:AJ156)&lt;5),"",ROUND(SUMPRODUCT(AF156:AJ156,Guia!$B$7:$F$7),1))</f>
        <v/>
      </c>
      <c r="AM156" s="10"/>
      <c r="AN156" s="10"/>
      <c r="AO156" s="7"/>
      <c r="AP156" s="7"/>
      <c r="AQ156" s="7"/>
      <c r="AR156" s="7"/>
      <c r="AS156" s="7"/>
      <c r="AT156" s="7"/>
      <c r="AU156" s="7"/>
    </row>
    <row r="157" spans="1:47" ht="32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8"/>
      <c r="AB157" s="7"/>
      <c r="AC157" s="7"/>
      <c r="AD157" s="7"/>
      <c r="AE157" s="7"/>
      <c r="AF157" s="9"/>
      <c r="AG157" s="9"/>
      <c r="AH157" s="9"/>
      <c r="AI157" s="9"/>
      <c r="AJ157" s="9"/>
      <c r="AK157" s="7"/>
      <c r="AL157" s="10" t="str">
        <f>IF(OR(A157="",COUNT(AF157:AJ157)&lt;5),"",ROUND(SUMPRODUCT(AF157:AJ157,Guia!$B$7:$F$7),1))</f>
        <v/>
      </c>
      <c r="AM157" s="10"/>
      <c r="AN157" s="10"/>
      <c r="AO157" s="7"/>
      <c r="AP157" s="7"/>
      <c r="AQ157" s="7"/>
      <c r="AR157" s="7"/>
      <c r="AS157" s="7"/>
      <c r="AT157" s="7"/>
      <c r="AU157" s="7"/>
    </row>
    <row r="158" spans="1:47" ht="32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8"/>
      <c r="AB158" s="7"/>
      <c r="AC158" s="7"/>
      <c r="AD158" s="7"/>
      <c r="AE158" s="7"/>
      <c r="AF158" s="9"/>
      <c r="AG158" s="9"/>
      <c r="AH158" s="9"/>
      <c r="AI158" s="9"/>
      <c r="AJ158" s="9"/>
      <c r="AK158" s="7"/>
      <c r="AL158" s="10" t="str">
        <f>IF(OR(A158="",COUNT(AF158:AJ158)&lt;5),"",ROUND(SUMPRODUCT(AF158:AJ158,Guia!$B$7:$F$7),1))</f>
        <v/>
      </c>
      <c r="AM158" s="10"/>
      <c r="AN158" s="10"/>
      <c r="AO158" s="7"/>
      <c r="AP158" s="7"/>
      <c r="AQ158" s="7"/>
      <c r="AR158" s="7"/>
      <c r="AS158" s="7"/>
      <c r="AT158" s="7"/>
      <c r="AU158" s="7"/>
    </row>
    <row r="159" spans="1:47" ht="32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8"/>
      <c r="AB159" s="7"/>
      <c r="AC159" s="7"/>
      <c r="AD159" s="7"/>
      <c r="AE159" s="7"/>
      <c r="AF159" s="9"/>
      <c r="AG159" s="9"/>
      <c r="AH159" s="9"/>
      <c r="AI159" s="9"/>
      <c r="AJ159" s="9"/>
      <c r="AK159" s="7"/>
      <c r="AL159" s="10" t="str">
        <f>IF(OR(A159="",COUNT(AF159:AJ159)&lt;5),"",ROUND(SUMPRODUCT(AF159:AJ159,Guia!$B$7:$F$7),1))</f>
        <v/>
      </c>
      <c r="AM159" s="10"/>
      <c r="AN159" s="10"/>
      <c r="AO159" s="7"/>
      <c r="AP159" s="7"/>
      <c r="AQ159" s="7"/>
      <c r="AR159" s="7"/>
      <c r="AS159" s="7"/>
      <c r="AT159" s="7"/>
      <c r="AU159" s="7"/>
    </row>
    <row r="160" spans="1:47" ht="32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8"/>
      <c r="AB160" s="7"/>
      <c r="AC160" s="7"/>
      <c r="AD160" s="7"/>
      <c r="AE160" s="7"/>
      <c r="AF160" s="9"/>
      <c r="AG160" s="9"/>
      <c r="AH160" s="9"/>
      <c r="AI160" s="9"/>
      <c r="AJ160" s="9"/>
      <c r="AK160" s="7"/>
      <c r="AL160" s="10" t="str">
        <f>IF(OR(A160="",COUNT(AF160:AJ160)&lt;5),"",ROUND(SUMPRODUCT(AF160:AJ160,Guia!$B$7:$F$7),1))</f>
        <v/>
      </c>
      <c r="AM160" s="10"/>
      <c r="AN160" s="10"/>
      <c r="AO160" s="7"/>
      <c r="AP160" s="7"/>
      <c r="AQ160" s="7"/>
      <c r="AR160" s="7"/>
      <c r="AS160" s="7"/>
      <c r="AT160" s="7"/>
      <c r="AU160" s="7"/>
    </row>
    <row r="161" spans="1:47" ht="32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8"/>
      <c r="AB161" s="7"/>
      <c r="AC161" s="7"/>
      <c r="AD161" s="7"/>
      <c r="AE161" s="7"/>
      <c r="AF161" s="9"/>
      <c r="AG161" s="9"/>
      <c r="AH161" s="9"/>
      <c r="AI161" s="9"/>
      <c r="AJ161" s="9"/>
      <c r="AK161" s="7"/>
      <c r="AL161" s="10" t="str">
        <f>IF(OR(A161="",COUNT(AF161:AJ161)&lt;5),"",ROUND(SUMPRODUCT(AF161:AJ161,Guia!$B$7:$F$7),1))</f>
        <v/>
      </c>
      <c r="AM161" s="10"/>
      <c r="AN161" s="10"/>
      <c r="AO161" s="7"/>
      <c r="AP161" s="7"/>
      <c r="AQ161" s="7"/>
      <c r="AR161" s="7"/>
      <c r="AS161" s="7"/>
      <c r="AT161" s="7"/>
      <c r="AU161" s="7"/>
    </row>
    <row r="162" spans="1:47" ht="32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8"/>
      <c r="AB162" s="7"/>
      <c r="AC162" s="7"/>
      <c r="AD162" s="7"/>
      <c r="AE162" s="7"/>
      <c r="AF162" s="9"/>
      <c r="AG162" s="9"/>
      <c r="AH162" s="9"/>
      <c r="AI162" s="9"/>
      <c r="AJ162" s="9"/>
      <c r="AK162" s="7"/>
      <c r="AL162" s="10" t="str">
        <f>IF(OR(A162="",COUNT(AF162:AJ162)&lt;5),"",ROUND(SUMPRODUCT(AF162:AJ162,Guia!$B$7:$F$7),1))</f>
        <v/>
      </c>
      <c r="AM162" s="10"/>
      <c r="AN162" s="10"/>
      <c r="AO162" s="7"/>
      <c r="AP162" s="7"/>
      <c r="AQ162" s="7"/>
      <c r="AR162" s="7"/>
      <c r="AS162" s="7"/>
      <c r="AT162" s="7"/>
      <c r="AU162" s="7"/>
    </row>
    <row r="163" spans="1:47" ht="32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8"/>
      <c r="AB163" s="7"/>
      <c r="AC163" s="7"/>
      <c r="AD163" s="7"/>
      <c r="AE163" s="7"/>
      <c r="AF163" s="9"/>
      <c r="AG163" s="9"/>
      <c r="AH163" s="9"/>
      <c r="AI163" s="9"/>
      <c r="AJ163" s="9"/>
      <c r="AK163" s="7"/>
      <c r="AL163" s="10" t="str">
        <f>IF(OR(A163="",COUNT(AF163:AJ163)&lt;5),"",ROUND(SUMPRODUCT(AF163:AJ163,Guia!$B$7:$F$7),1))</f>
        <v/>
      </c>
      <c r="AM163" s="10"/>
      <c r="AN163" s="10"/>
      <c r="AO163" s="7"/>
      <c r="AP163" s="7"/>
      <c r="AQ163" s="7"/>
      <c r="AR163" s="7"/>
      <c r="AS163" s="7"/>
      <c r="AT163" s="7"/>
      <c r="AU163" s="7"/>
    </row>
    <row r="164" spans="1:47" ht="32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8"/>
      <c r="AB164" s="7"/>
      <c r="AC164" s="7"/>
      <c r="AD164" s="7"/>
      <c r="AE164" s="7"/>
      <c r="AF164" s="9"/>
      <c r="AG164" s="9"/>
      <c r="AH164" s="9"/>
      <c r="AI164" s="9"/>
      <c r="AJ164" s="9"/>
      <c r="AK164" s="7"/>
      <c r="AL164" s="10" t="str">
        <f>IF(OR(A164="",COUNT(AF164:AJ164)&lt;5),"",ROUND(SUMPRODUCT(AF164:AJ164,Guia!$B$7:$F$7),1))</f>
        <v/>
      </c>
      <c r="AM164" s="10"/>
      <c r="AN164" s="10"/>
      <c r="AO164" s="7"/>
      <c r="AP164" s="7"/>
      <c r="AQ164" s="7"/>
      <c r="AR164" s="7"/>
      <c r="AS164" s="7"/>
      <c r="AT164" s="7"/>
      <c r="AU164" s="7"/>
    </row>
    <row r="165" spans="1:47" ht="32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8"/>
      <c r="AB165" s="7"/>
      <c r="AC165" s="7"/>
      <c r="AD165" s="7"/>
      <c r="AE165" s="7"/>
      <c r="AF165" s="9"/>
      <c r="AG165" s="9"/>
      <c r="AH165" s="9"/>
      <c r="AI165" s="9"/>
      <c r="AJ165" s="9"/>
      <c r="AK165" s="7"/>
      <c r="AL165" s="10" t="str">
        <f>IF(OR(A165="",COUNT(AF165:AJ165)&lt;5),"",ROUND(SUMPRODUCT(AF165:AJ165,Guia!$B$7:$F$7),1))</f>
        <v/>
      </c>
      <c r="AM165" s="10"/>
      <c r="AN165" s="10"/>
      <c r="AO165" s="7"/>
      <c r="AP165" s="7"/>
      <c r="AQ165" s="7"/>
      <c r="AR165" s="7"/>
      <c r="AS165" s="7"/>
      <c r="AT165" s="7"/>
      <c r="AU165" s="7"/>
    </row>
    <row r="166" spans="1:47" ht="32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8"/>
      <c r="AB166" s="7"/>
      <c r="AC166" s="7"/>
      <c r="AD166" s="7"/>
      <c r="AE166" s="7"/>
      <c r="AF166" s="9"/>
      <c r="AG166" s="9"/>
      <c r="AH166" s="9"/>
      <c r="AI166" s="9"/>
      <c r="AJ166" s="9"/>
      <c r="AK166" s="7"/>
      <c r="AL166" s="10" t="str">
        <f>IF(OR(A166="",COUNT(AF166:AJ166)&lt;5),"",ROUND(SUMPRODUCT(AF166:AJ166,Guia!$B$7:$F$7),1))</f>
        <v/>
      </c>
      <c r="AM166" s="10"/>
      <c r="AN166" s="10"/>
      <c r="AO166" s="7"/>
      <c r="AP166" s="7"/>
      <c r="AQ166" s="7"/>
      <c r="AR166" s="7"/>
      <c r="AS166" s="7"/>
      <c r="AT166" s="7"/>
      <c r="AU166" s="7"/>
    </row>
    <row r="167" spans="1:47" ht="32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8"/>
      <c r="AB167" s="7"/>
      <c r="AC167" s="7"/>
      <c r="AD167" s="7"/>
      <c r="AE167" s="7"/>
      <c r="AF167" s="9"/>
      <c r="AG167" s="9"/>
      <c r="AH167" s="9"/>
      <c r="AI167" s="9"/>
      <c r="AJ167" s="9"/>
      <c r="AK167" s="7"/>
      <c r="AL167" s="10" t="str">
        <f>IF(OR(A167="",COUNT(AF167:AJ167)&lt;5),"",ROUND(SUMPRODUCT(AF167:AJ167,Guia!$B$7:$F$7),1))</f>
        <v/>
      </c>
      <c r="AM167" s="10"/>
      <c r="AN167" s="10"/>
      <c r="AO167" s="7"/>
      <c r="AP167" s="7"/>
      <c r="AQ167" s="7"/>
      <c r="AR167" s="7"/>
      <c r="AS167" s="7"/>
      <c r="AT167" s="7"/>
      <c r="AU167" s="7"/>
    </row>
    <row r="168" spans="1:47" ht="32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8"/>
      <c r="AB168" s="7"/>
      <c r="AC168" s="7"/>
      <c r="AD168" s="7"/>
      <c r="AE168" s="7"/>
      <c r="AF168" s="9"/>
      <c r="AG168" s="9"/>
      <c r="AH168" s="9"/>
      <c r="AI168" s="9"/>
      <c r="AJ168" s="9"/>
      <c r="AK168" s="7"/>
      <c r="AL168" s="10" t="str">
        <f>IF(OR(A168="",COUNT(AF168:AJ168)&lt;5),"",ROUND(SUMPRODUCT(AF168:AJ168,Guia!$B$7:$F$7),1))</f>
        <v/>
      </c>
      <c r="AM168" s="10"/>
      <c r="AN168" s="10"/>
      <c r="AO168" s="7"/>
      <c r="AP168" s="7"/>
      <c r="AQ168" s="7"/>
      <c r="AR168" s="7"/>
      <c r="AS168" s="7"/>
      <c r="AT168" s="7"/>
      <c r="AU168" s="7"/>
    </row>
    <row r="169" spans="1:47" ht="32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8"/>
      <c r="AB169" s="7"/>
      <c r="AC169" s="7"/>
      <c r="AD169" s="7"/>
      <c r="AE169" s="7"/>
      <c r="AF169" s="9"/>
      <c r="AG169" s="9"/>
      <c r="AH169" s="9"/>
      <c r="AI169" s="9"/>
      <c r="AJ169" s="9"/>
      <c r="AK169" s="7"/>
      <c r="AL169" s="10" t="str">
        <f>IF(OR(A169="",COUNT(AF169:AJ169)&lt;5),"",ROUND(SUMPRODUCT(AF169:AJ169,Guia!$B$7:$F$7),1))</f>
        <v/>
      </c>
      <c r="AM169" s="10"/>
      <c r="AN169" s="10"/>
      <c r="AO169" s="7"/>
      <c r="AP169" s="7"/>
      <c r="AQ169" s="7"/>
      <c r="AR169" s="7"/>
      <c r="AS169" s="7"/>
      <c r="AT169" s="7"/>
      <c r="AU169" s="7"/>
    </row>
    <row r="170" spans="1:47" ht="32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8"/>
      <c r="AB170" s="7"/>
      <c r="AC170" s="7"/>
      <c r="AD170" s="7"/>
      <c r="AE170" s="7"/>
      <c r="AF170" s="9"/>
      <c r="AG170" s="9"/>
      <c r="AH170" s="9"/>
      <c r="AI170" s="9"/>
      <c r="AJ170" s="9"/>
      <c r="AK170" s="7"/>
      <c r="AL170" s="10" t="str">
        <f>IF(OR(A170="",COUNT(AF170:AJ170)&lt;5),"",ROUND(SUMPRODUCT(AF170:AJ170,Guia!$B$7:$F$7),1))</f>
        <v/>
      </c>
      <c r="AM170" s="10"/>
      <c r="AN170" s="10"/>
      <c r="AO170" s="7"/>
      <c r="AP170" s="7"/>
      <c r="AQ170" s="7"/>
      <c r="AR170" s="7"/>
      <c r="AS170" s="7"/>
      <c r="AT170" s="7"/>
      <c r="AU170" s="7"/>
    </row>
    <row r="171" spans="1:47" ht="32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8"/>
      <c r="AB171" s="7"/>
      <c r="AC171" s="7"/>
      <c r="AD171" s="7"/>
      <c r="AE171" s="7"/>
      <c r="AF171" s="9"/>
      <c r="AG171" s="9"/>
      <c r="AH171" s="9"/>
      <c r="AI171" s="9"/>
      <c r="AJ171" s="9"/>
      <c r="AK171" s="7"/>
      <c r="AL171" s="10" t="str">
        <f>IF(OR(A171="",COUNT(AF171:AJ171)&lt;5),"",ROUND(SUMPRODUCT(AF171:AJ171,Guia!$B$7:$F$7),1))</f>
        <v/>
      </c>
      <c r="AM171" s="10"/>
      <c r="AN171" s="10"/>
      <c r="AO171" s="7"/>
      <c r="AP171" s="7"/>
      <c r="AQ171" s="7"/>
      <c r="AR171" s="7"/>
      <c r="AS171" s="7"/>
      <c r="AT171" s="7"/>
      <c r="AU171" s="7"/>
    </row>
    <row r="172" spans="1:47" ht="32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8"/>
      <c r="AB172" s="7"/>
      <c r="AC172" s="7"/>
      <c r="AD172" s="7"/>
      <c r="AE172" s="7"/>
      <c r="AF172" s="9"/>
      <c r="AG172" s="9"/>
      <c r="AH172" s="9"/>
      <c r="AI172" s="9"/>
      <c r="AJ172" s="9"/>
      <c r="AK172" s="7"/>
      <c r="AL172" s="10" t="str">
        <f>IF(OR(A172="",COUNT(AF172:AJ172)&lt;5),"",ROUND(SUMPRODUCT(AF172:AJ172,Guia!$B$7:$F$7),1))</f>
        <v/>
      </c>
      <c r="AM172" s="10"/>
      <c r="AN172" s="10"/>
      <c r="AO172" s="7"/>
      <c r="AP172" s="7"/>
      <c r="AQ172" s="7"/>
      <c r="AR172" s="7"/>
      <c r="AS172" s="7"/>
      <c r="AT172" s="7"/>
      <c r="AU172" s="7"/>
    </row>
    <row r="173" spans="1:47" ht="32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8"/>
      <c r="AB173" s="7"/>
      <c r="AC173" s="7"/>
      <c r="AD173" s="7"/>
      <c r="AE173" s="7"/>
      <c r="AF173" s="9"/>
      <c r="AG173" s="9"/>
      <c r="AH173" s="9"/>
      <c r="AI173" s="9"/>
      <c r="AJ173" s="9"/>
      <c r="AK173" s="7"/>
      <c r="AL173" s="10" t="str">
        <f>IF(OR(A173="",COUNT(AF173:AJ173)&lt;5),"",ROUND(SUMPRODUCT(AF173:AJ173,Guia!$B$7:$F$7),1))</f>
        <v/>
      </c>
      <c r="AM173" s="10"/>
      <c r="AN173" s="10"/>
      <c r="AO173" s="7"/>
      <c r="AP173" s="7"/>
      <c r="AQ173" s="7"/>
      <c r="AR173" s="7"/>
      <c r="AS173" s="7"/>
      <c r="AT173" s="7"/>
      <c r="AU173" s="7"/>
    </row>
    <row r="174" spans="1:47" ht="32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8"/>
      <c r="AB174" s="7"/>
      <c r="AC174" s="7"/>
      <c r="AD174" s="7"/>
      <c r="AE174" s="7"/>
      <c r="AF174" s="9"/>
      <c r="AG174" s="9"/>
      <c r="AH174" s="9"/>
      <c r="AI174" s="9"/>
      <c r="AJ174" s="9"/>
      <c r="AK174" s="7"/>
      <c r="AL174" s="10" t="str">
        <f>IF(OR(A174="",COUNT(AF174:AJ174)&lt;5),"",ROUND(SUMPRODUCT(AF174:AJ174,Guia!$B$7:$F$7),1))</f>
        <v/>
      </c>
      <c r="AM174" s="10"/>
      <c r="AN174" s="10"/>
      <c r="AO174" s="7"/>
      <c r="AP174" s="7"/>
      <c r="AQ174" s="7"/>
      <c r="AR174" s="7"/>
      <c r="AS174" s="7"/>
      <c r="AT174" s="7"/>
      <c r="AU174" s="7"/>
    </row>
    <row r="175" spans="1:47" ht="32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8"/>
      <c r="AB175" s="7"/>
      <c r="AC175" s="7"/>
      <c r="AD175" s="7"/>
      <c r="AE175" s="7"/>
      <c r="AF175" s="9"/>
      <c r="AG175" s="9"/>
      <c r="AH175" s="9"/>
      <c r="AI175" s="9"/>
      <c r="AJ175" s="9"/>
      <c r="AK175" s="7"/>
      <c r="AL175" s="10" t="str">
        <f>IF(OR(A175="",COUNT(AF175:AJ175)&lt;5),"",ROUND(SUMPRODUCT(AF175:AJ175,Guia!$B$7:$F$7),1))</f>
        <v/>
      </c>
      <c r="AM175" s="10"/>
      <c r="AN175" s="10"/>
      <c r="AO175" s="7"/>
      <c r="AP175" s="7"/>
      <c r="AQ175" s="7"/>
      <c r="AR175" s="7"/>
      <c r="AS175" s="7"/>
      <c r="AT175" s="7"/>
      <c r="AU175" s="7"/>
    </row>
    <row r="176" spans="1:47" ht="32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8"/>
      <c r="AB176" s="7"/>
      <c r="AC176" s="7"/>
      <c r="AD176" s="7"/>
      <c r="AE176" s="7"/>
      <c r="AF176" s="9"/>
      <c r="AG176" s="9"/>
      <c r="AH176" s="9"/>
      <c r="AI176" s="9"/>
      <c r="AJ176" s="9"/>
      <c r="AK176" s="7"/>
      <c r="AL176" s="10" t="str">
        <f>IF(OR(A176="",COUNT(AF176:AJ176)&lt;5),"",ROUND(SUMPRODUCT(AF176:AJ176,Guia!$B$7:$F$7),1))</f>
        <v/>
      </c>
      <c r="AM176" s="10"/>
      <c r="AN176" s="10"/>
      <c r="AO176" s="7"/>
      <c r="AP176" s="7"/>
      <c r="AQ176" s="7"/>
      <c r="AR176" s="7"/>
      <c r="AS176" s="7"/>
      <c r="AT176" s="7"/>
      <c r="AU176" s="7"/>
    </row>
    <row r="177" spans="1:47" ht="32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8"/>
      <c r="AB177" s="7"/>
      <c r="AC177" s="7"/>
      <c r="AD177" s="7"/>
      <c r="AE177" s="7"/>
      <c r="AF177" s="9"/>
      <c r="AG177" s="9"/>
      <c r="AH177" s="9"/>
      <c r="AI177" s="9"/>
      <c r="AJ177" s="9"/>
      <c r="AK177" s="7"/>
      <c r="AL177" s="10" t="str">
        <f>IF(OR(A177="",COUNT(AF177:AJ177)&lt;5),"",ROUND(SUMPRODUCT(AF177:AJ177,Guia!$B$7:$F$7),1))</f>
        <v/>
      </c>
      <c r="AM177" s="10"/>
      <c r="AN177" s="10"/>
      <c r="AO177" s="7"/>
      <c r="AP177" s="7"/>
      <c r="AQ177" s="7"/>
      <c r="AR177" s="7"/>
      <c r="AS177" s="7"/>
      <c r="AT177" s="7"/>
      <c r="AU177" s="7"/>
    </row>
    <row r="178" spans="1:47" ht="32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8"/>
      <c r="AB178" s="7"/>
      <c r="AC178" s="7"/>
      <c r="AD178" s="7"/>
      <c r="AE178" s="7"/>
      <c r="AF178" s="9"/>
      <c r="AG178" s="9"/>
      <c r="AH178" s="9"/>
      <c r="AI178" s="9"/>
      <c r="AJ178" s="9"/>
      <c r="AK178" s="7"/>
      <c r="AL178" s="10" t="str">
        <f>IF(OR(A178="",COUNT(AF178:AJ178)&lt;5),"",ROUND(SUMPRODUCT(AF178:AJ178,Guia!$B$7:$F$7),1))</f>
        <v/>
      </c>
      <c r="AM178" s="10"/>
      <c r="AN178" s="10"/>
      <c r="AO178" s="7"/>
      <c r="AP178" s="7"/>
      <c r="AQ178" s="7"/>
      <c r="AR178" s="7"/>
      <c r="AS178" s="7"/>
      <c r="AT178" s="7"/>
      <c r="AU178" s="7"/>
    </row>
    <row r="179" spans="1:47" ht="32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8"/>
      <c r="AB179" s="7"/>
      <c r="AC179" s="7"/>
      <c r="AD179" s="7"/>
      <c r="AE179" s="7"/>
      <c r="AF179" s="9"/>
      <c r="AG179" s="9"/>
      <c r="AH179" s="9"/>
      <c r="AI179" s="9"/>
      <c r="AJ179" s="9"/>
      <c r="AK179" s="7"/>
      <c r="AL179" s="10" t="str">
        <f>IF(OR(A179="",COUNT(AF179:AJ179)&lt;5),"",ROUND(SUMPRODUCT(AF179:AJ179,Guia!$B$7:$F$7),1))</f>
        <v/>
      </c>
      <c r="AM179" s="10"/>
      <c r="AN179" s="10"/>
      <c r="AO179" s="7"/>
      <c r="AP179" s="7"/>
      <c r="AQ179" s="7"/>
      <c r="AR179" s="7"/>
      <c r="AS179" s="7"/>
      <c r="AT179" s="7"/>
      <c r="AU179" s="7"/>
    </row>
    <row r="180" spans="1:47" ht="32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8"/>
      <c r="AB180" s="7"/>
      <c r="AC180" s="7"/>
      <c r="AD180" s="7"/>
      <c r="AE180" s="7"/>
      <c r="AF180" s="9"/>
      <c r="AG180" s="9"/>
      <c r="AH180" s="9"/>
      <c r="AI180" s="9"/>
      <c r="AJ180" s="9"/>
      <c r="AK180" s="7"/>
      <c r="AL180" s="10" t="str">
        <f>IF(OR(A180="",COUNT(AF180:AJ180)&lt;5),"",ROUND(SUMPRODUCT(AF180:AJ180,Guia!$B$7:$F$7),1))</f>
        <v/>
      </c>
      <c r="AM180" s="10"/>
      <c r="AN180" s="10"/>
      <c r="AO180" s="7"/>
      <c r="AP180" s="7"/>
      <c r="AQ180" s="7"/>
      <c r="AR180" s="7"/>
      <c r="AS180" s="7"/>
      <c r="AT180" s="7"/>
      <c r="AU180" s="7"/>
    </row>
    <row r="181" spans="1:47" ht="32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8"/>
      <c r="AB181" s="7"/>
      <c r="AC181" s="7"/>
      <c r="AD181" s="7"/>
      <c r="AE181" s="7"/>
      <c r="AF181" s="9"/>
      <c r="AG181" s="9"/>
      <c r="AH181" s="9"/>
      <c r="AI181" s="9"/>
      <c r="AJ181" s="9"/>
      <c r="AK181" s="7"/>
      <c r="AL181" s="10" t="str">
        <f>IF(OR(A181="",COUNT(AF181:AJ181)&lt;5),"",ROUND(SUMPRODUCT(AF181:AJ181,Guia!$B$7:$F$7),1))</f>
        <v/>
      </c>
      <c r="AM181" s="10"/>
      <c r="AN181" s="10"/>
      <c r="AO181" s="7"/>
      <c r="AP181" s="7"/>
      <c r="AQ181" s="7"/>
      <c r="AR181" s="7"/>
      <c r="AS181" s="7"/>
      <c r="AT181" s="7"/>
      <c r="AU181" s="7"/>
    </row>
    <row r="182" spans="1:47" ht="32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8"/>
      <c r="AB182" s="7"/>
      <c r="AC182" s="7"/>
      <c r="AD182" s="7"/>
      <c r="AE182" s="7"/>
      <c r="AF182" s="9"/>
      <c r="AG182" s="9"/>
      <c r="AH182" s="9"/>
      <c r="AI182" s="9"/>
      <c r="AJ182" s="9"/>
      <c r="AK182" s="7"/>
      <c r="AL182" s="10" t="str">
        <f>IF(OR(A182="",COUNT(AF182:AJ182)&lt;5),"",ROUND(SUMPRODUCT(AF182:AJ182,Guia!$B$7:$F$7),1))</f>
        <v/>
      </c>
      <c r="AM182" s="10"/>
      <c r="AN182" s="10"/>
      <c r="AO182" s="7"/>
      <c r="AP182" s="7"/>
      <c r="AQ182" s="7"/>
      <c r="AR182" s="7"/>
      <c r="AS182" s="7"/>
      <c r="AT182" s="7"/>
      <c r="AU182" s="7"/>
    </row>
    <row r="183" spans="1:47" ht="32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8"/>
      <c r="AB183" s="7"/>
      <c r="AC183" s="7"/>
      <c r="AD183" s="7"/>
      <c r="AE183" s="7"/>
      <c r="AF183" s="9"/>
      <c r="AG183" s="9"/>
      <c r="AH183" s="9"/>
      <c r="AI183" s="9"/>
      <c r="AJ183" s="9"/>
      <c r="AK183" s="7"/>
      <c r="AL183" s="10" t="str">
        <f>IF(OR(A183="",COUNT(AF183:AJ183)&lt;5),"",ROUND(SUMPRODUCT(AF183:AJ183,Guia!$B$7:$F$7),1))</f>
        <v/>
      </c>
      <c r="AM183" s="10"/>
      <c r="AN183" s="10"/>
      <c r="AO183" s="7"/>
      <c r="AP183" s="7"/>
      <c r="AQ183" s="7"/>
      <c r="AR183" s="7"/>
      <c r="AS183" s="7"/>
      <c r="AT183" s="7"/>
      <c r="AU183" s="7"/>
    </row>
    <row r="184" spans="1:47" ht="32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8"/>
      <c r="AB184" s="7"/>
      <c r="AC184" s="7"/>
      <c r="AD184" s="7"/>
      <c r="AE184" s="7"/>
      <c r="AF184" s="9"/>
      <c r="AG184" s="9"/>
      <c r="AH184" s="9"/>
      <c r="AI184" s="9"/>
      <c r="AJ184" s="9"/>
      <c r="AK184" s="7"/>
      <c r="AL184" s="10" t="str">
        <f>IF(OR(A184="",COUNT(AF184:AJ184)&lt;5),"",ROUND(SUMPRODUCT(AF184:AJ184,Guia!$B$7:$F$7),1))</f>
        <v/>
      </c>
      <c r="AM184" s="10"/>
      <c r="AN184" s="10"/>
      <c r="AO184" s="7"/>
      <c r="AP184" s="7"/>
      <c r="AQ184" s="7"/>
      <c r="AR184" s="7"/>
      <c r="AS184" s="7"/>
      <c r="AT184" s="7"/>
      <c r="AU184" s="7"/>
    </row>
    <row r="185" spans="1:47" ht="32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8"/>
      <c r="AB185" s="7"/>
      <c r="AC185" s="7"/>
      <c r="AD185" s="7"/>
      <c r="AE185" s="7"/>
      <c r="AF185" s="9"/>
      <c r="AG185" s="9"/>
      <c r="AH185" s="9"/>
      <c r="AI185" s="9"/>
      <c r="AJ185" s="9"/>
      <c r="AK185" s="7"/>
      <c r="AL185" s="10" t="str">
        <f>IF(OR(A185="",COUNT(AF185:AJ185)&lt;5),"",ROUND(SUMPRODUCT(AF185:AJ185,Guia!$B$7:$F$7),1))</f>
        <v/>
      </c>
      <c r="AM185" s="10"/>
      <c r="AN185" s="10"/>
      <c r="AO185" s="7"/>
      <c r="AP185" s="7"/>
      <c r="AQ185" s="7"/>
      <c r="AR185" s="7"/>
      <c r="AS185" s="7"/>
      <c r="AT185" s="7"/>
      <c r="AU185" s="7"/>
    </row>
    <row r="186" spans="1:47" ht="32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8"/>
      <c r="AB186" s="7"/>
      <c r="AC186" s="7"/>
      <c r="AD186" s="7"/>
      <c r="AE186" s="7"/>
      <c r="AF186" s="9"/>
      <c r="AG186" s="9"/>
      <c r="AH186" s="9"/>
      <c r="AI186" s="9"/>
      <c r="AJ186" s="9"/>
      <c r="AK186" s="7"/>
      <c r="AL186" s="10" t="str">
        <f>IF(OR(A186="",COUNT(AF186:AJ186)&lt;5),"",ROUND(SUMPRODUCT(AF186:AJ186,Guia!$B$7:$F$7),1))</f>
        <v/>
      </c>
      <c r="AM186" s="10"/>
      <c r="AN186" s="10"/>
      <c r="AO186" s="7"/>
      <c r="AP186" s="7"/>
      <c r="AQ186" s="7"/>
      <c r="AR186" s="7"/>
      <c r="AS186" s="7"/>
      <c r="AT186" s="7"/>
      <c r="AU186" s="7"/>
    </row>
    <row r="187" spans="1:47" ht="32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8"/>
      <c r="AB187" s="7"/>
      <c r="AC187" s="7"/>
      <c r="AD187" s="7"/>
      <c r="AE187" s="7"/>
      <c r="AF187" s="9"/>
      <c r="AG187" s="9"/>
      <c r="AH187" s="9"/>
      <c r="AI187" s="9"/>
      <c r="AJ187" s="9"/>
      <c r="AK187" s="7"/>
      <c r="AL187" s="10" t="str">
        <f>IF(OR(A187="",COUNT(AF187:AJ187)&lt;5),"",ROUND(SUMPRODUCT(AF187:AJ187,Guia!$B$7:$F$7),1))</f>
        <v/>
      </c>
      <c r="AM187" s="10"/>
      <c r="AN187" s="10"/>
      <c r="AO187" s="7"/>
      <c r="AP187" s="7"/>
      <c r="AQ187" s="7"/>
      <c r="AR187" s="7"/>
      <c r="AS187" s="7"/>
      <c r="AT187" s="7"/>
      <c r="AU187" s="7"/>
    </row>
    <row r="188" spans="1:47" ht="32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8"/>
      <c r="AB188" s="7"/>
      <c r="AC188" s="7"/>
      <c r="AD188" s="7"/>
      <c r="AE188" s="7"/>
      <c r="AF188" s="9"/>
      <c r="AG188" s="9"/>
      <c r="AH188" s="9"/>
      <c r="AI188" s="9"/>
      <c r="AJ188" s="9"/>
      <c r="AK188" s="7"/>
      <c r="AL188" s="10" t="str">
        <f>IF(OR(A188="",COUNT(AF188:AJ188)&lt;5),"",ROUND(SUMPRODUCT(AF188:AJ188,Guia!$B$7:$F$7),1))</f>
        <v/>
      </c>
      <c r="AM188" s="10"/>
      <c r="AN188" s="10"/>
      <c r="AO188" s="7"/>
      <c r="AP188" s="7"/>
      <c r="AQ188" s="7"/>
      <c r="AR188" s="7"/>
      <c r="AS188" s="7"/>
      <c r="AT188" s="7"/>
      <c r="AU188" s="7"/>
    </row>
    <row r="189" spans="1:47" ht="32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8"/>
      <c r="AB189" s="7"/>
      <c r="AC189" s="7"/>
      <c r="AD189" s="7"/>
      <c r="AE189" s="7"/>
      <c r="AF189" s="9"/>
      <c r="AG189" s="9"/>
      <c r="AH189" s="9"/>
      <c r="AI189" s="9"/>
      <c r="AJ189" s="9"/>
      <c r="AK189" s="7"/>
      <c r="AL189" s="10" t="str">
        <f>IF(OR(A189="",COUNT(AF189:AJ189)&lt;5),"",ROUND(SUMPRODUCT(AF189:AJ189,Guia!$B$7:$F$7),1))</f>
        <v/>
      </c>
      <c r="AM189" s="10"/>
      <c r="AN189" s="10"/>
      <c r="AO189" s="7"/>
      <c r="AP189" s="7"/>
      <c r="AQ189" s="7"/>
      <c r="AR189" s="7"/>
      <c r="AS189" s="7"/>
      <c r="AT189" s="7"/>
      <c r="AU189" s="7"/>
    </row>
    <row r="190" spans="1:47" ht="32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8"/>
      <c r="AB190" s="7"/>
      <c r="AC190" s="7"/>
      <c r="AD190" s="7"/>
      <c r="AE190" s="7"/>
      <c r="AF190" s="9"/>
      <c r="AG190" s="9"/>
      <c r="AH190" s="9"/>
      <c r="AI190" s="9"/>
      <c r="AJ190" s="9"/>
      <c r="AK190" s="7"/>
      <c r="AL190" s="10" t="str">
        <f>IF(OR(A190="",COUNT(AF190:AJ190)&lt;5),"",ROUND(SUMPRODUCT(AF190:AJ190,Guia!$B$7:$F$7),1))</f>
        <v/>
      </c>
      <c r="AM190" s="10"/>
      <c r="AN190" s="10"/>
      <c r="AO190" s="7"/>
      <c r="AP190" s="7"/>
      <c r="AQ190" s="7"/>
      <c r="AR190" s="7"/>
      <c r="AS190" s="7"/>
      <c r="AT190" s="7"/>
      <c r="AU190" s="7"/>
    </row>
    <row r="191" spans="1:47" ht="32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8"/>
      <c r="AB191" s="7"/>
      <c r="AC191" s="7"/>
      <c r="AD191" s="7"/>
      <c r="AE191" s="7"/>
      <c r="AF191" s="9"/>
      <c r="AG191" s="9"/>
      <c r="AH191" s="9"/>
      <c r="AI191" s="9"/>
      <c r="AJ191" s="9"/>
      <c r="AK191" s="7"/>
      <c r="AL191" s="10" t="str">
        <f>IF(OR(A191="",COUNT(AF191:AJ191)&lt;5),"",ROUND(SUMPRODUCT(AF191:AJ191,Guia!$B$7:$F$7),1))</f>
        <v/>
      </c>
      <c r="AM191" s="10"/>
      <c r="AN191" s="10"/>
      <c r="AO191" s="7"/>
      <c r="AP191" s="7"/>
      <c r="AQ191" s="7"/>
      <c r="AR191" s="7"/>
      <c r="AS191" s="7"/>
      <c r="AT191" s="7"/>
      <c r="AU191" s="7"/>
    </row>
    <row r="192" spans="1:47" ht="32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8"/>
      <c r="AB192" s="7"/>
      <c r="AC192" s="7"/>
      <c r="AD192" s="7"/>
      <c r="AE192" s="7"/>
      <c r="AF192" s="9"/>
      <c r="AG192" s="9"/>
      <c r="AH192" s="9"/>
      <c r="AI192" s="9"/>
      <c r="AJ192" s="9"/>
      <c r="AK192" s="7"/>
      <c r="AL192" s="10" t="str">
        <f>IF(OR(A192="",COUNT(AF192:AJ192)&lt;5),"",ROUND(SUMPRODUCT(AF192:AJ192,Guia!$B$7:$F$7),1))</f>
        <v/>
      </c>
      <c r="AM192" s="10"/>
      <c r="AN192" s="10"/>
      <c r="AO192" s="7"/>
      <c r="AP192" s="7"/>
      <c r="AQ192" s="7"/>
      <c r="AR192" s="7"/>
      <c r="AS192" s="7"/>
      <c r="AT192" s="7"/>
      <c r="AU192" s="7"/>
    </row>
    <row r="193" spans="1:47" ht="32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8"/>
      <c r="AB193" s="7"/>
      <c r="AC193" s="7"/>
      <c r="AD193" s="7"/>
      <c r="AE193" s="7"/>
      <c r="AF193" s="9"/>
      <c r="AG193" s="9"/>
      <c r="AH193" s="9"/>
      <c r="AI193" s="9"/>
      <c r="AJ193" s="9"/>
      <c r="AK193" s="7"/>
      <c r="AL193" s="10" t="str">
        <f>IF(OR(A193="",COUNT(AF193:AJ193)&lt;5),"",ROUND(SUMPRODUCT(AF193:AJ193,Guia!$B$7:$F$7),1))</f>
        <v/>
      </c>
      <c r="AM193" s="10"/>
      <c r="AN193" s="10"/>
      <c r="AO193" s="7"/>
      <c r="AP193" s="7"/>
      <c r="AQ193" s="7"/>
      <c r="AR193" s="7"/>
      <c r="AS193" s="7"/>
      <c r="AT193" s="7"/>
      <c r="AU193" s="7"/>
    </row>
    <row r="194" spans="1:47" ht="32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8"/>
      <c r="AB194" s="7"/>
      <c r="AC194" s="7"/>
      <c r="AD194" s="7"/>
      <c r="AE194" s="7"/>
      <c r="AF194" s="9"/>
      <c r="AG194" s="9"/>
      <c r="AH194" s="9"/>
      <c r="AI194" s="9"/>
      <c r="AJ194" s="9"/>
      <c r="AK194" s="7"/>
      <c r="AL194" s="10" t="str">
        <f>IF(OR(A194="",COUNT(AF194:AJ194)&lt;5),"",ROUND(SUMPRODUCT(AF194:AJ194,Guia!$B$7:$F$7),1))</f>
        <v/>
      </c>
      <c r="AM194" s="10"/>
      <c r="AN194" s="10"/>
      <c r="AO194" s="7"/>
      <c r="AP194" s="7"/>
      <c r="AQ194" s="7"/>
      <c r="AR194" s="7"/>
      <c r="AS194" s="7"/>
      <c r="AT194" s="7"/>
      <c r="AU194" s="7"/>
    </row>
    <row r="195" spans="1:47" ht="32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8"/>
      <c r="AB195" s="7"/>
      <c r="AC195" s="7"/>
      <c r="AD195" s="7"/>
      <c r="AE195" s="7"/>
      <c r="AF195" s="9"/>
      <c r="AG195" s="9"/>
      <c r="AH195" s="9"/>
      <c r="AI195" s="9"/>
      <c r="AJ195" s="9"/>
      <c r="AK195" s="7"/>
      <c r="AL195" s="10" t="str">
        <f>IF(OR(A195="",COUNT(AF195:AJ195)&lt;5),"",ROUND(SUMPRODUCT(AF195:AJ195,Guia!$B$7:$F$7),1))</f>
        <v/>
      </c>
      <c r="AM195" s="10"/>
      <c r="AN195" s="10"/>
      <c r="AO195" s="7"/>
      <c r="AP195" s="7"/>
      <c r="AQ195" s="7"/>
      <c r="AR195" s="7"/>
      <c r="AS195" s="7"/>
      <c r="AT195" s="7"/>
      <c r="AU195" s="7"/>
    </row>
    <row r="196" spans="1:47" ht="32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8"/>
      <c r="AB196" s="7"/>
      <c r="AC196" s="7"/>
      <c r="AD196" s="7"/>
      <c r="AE196" s="7"/>
      <c r="AF196" s="9"/>
      <c r="AG196" s="9"/>
      <c r="AH196" s="9"/>
      <c r="AI196" s="9"/>
      <c r="AJ196" s="9"/>
      <c r="AK196" s="7"/>
      <c r="AL196" s="10" t="str">
        <f>IF(OR(A196="",COUNT(AF196:AJ196)&lt;5),"",ROUND(SUMPRODUCT(AF196:AJ196,Guia!$B$7:$F$7),1))</f>
        <v/>
      </c>
      <c r="AM196" s="10"/>
      <c r="AN196" s="10"/>
      <c r="AO196" s="7"/>
      <c r="AP196" s="7"/>
      <c r="AQ196" s="7"/>
      <c r="AR196" s="7"/>
      <c r="AS196" s="7"/>
      <c r="AT196" s="7"/>
      <c r="AU196" s="7"/>
    </row>
    <row r="197" spans="1:47" ht="32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8"/>
      <c r="AB197" s="7"/>
      <c r="AC197" s="7"/>
      <c r="AD197" s="7"/>
      <c r="AE197" s="7"/>
      <c r="AF197" s="9"/>
      <c r="AG197" s="9"/>
      <c r="AH197" s="9"/>
      <c r="AI197" s="9"/>
      <c r="AJ197" s="9"/>
      <c r="AK197" s="7"/>
      <c r="AL197" s="10" t="str">
        <f>IF(OR(A197="",COUNT(AF197:AJ197)&lt;5),"",ROUND(SUMPRODUCT(AF197:AJ197,Guia!$B$7:$F$7),1))</f>
        <v/>
      </c>
      <c r="AM197" s="10"/>
      <c r="AN197" s="10"/>
      <c r="AO197" s="7"/>
      <c r="AP197" s="7"/>
      <c r="AQ197" s="7"/>
      <c r="AR197" s="7"/>
      <c r="AS197" s="7"/>
      <c r="AT197" s="7"/>
      <c r="AU197" s="7"/>
    </row>
    <row r="198" spans="1:47" ht="32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8"/>
      <c r="AB198" s="7"/>
      <c r="AC198" s="7"/>
      <c r="AD198" s="7"/>
      <c r="AE198" s="7"/>
      <c r="AF198" s="9"/>
      <c r="AG198" s="9"/>
      <c r="AH198" s="9"/>
      <c r="AI198" s="9"/>
      <c r="AJ198" s="9"/>
      <c r="AK198" s="7"/>
      <c r="AL198" s="10" t="str">
        <f>IF(OR(A198="",COUNT(AF198:AJ198)&lt;5),"",ROUND(SUMPRODUCT(AF198:AJ198,Guia!$B$7:$F$7),1))</f>
        <v/>
      </c>
      <c r="AM198" s="10"/>
      <c r="AN198" s="10"/>
      <c r="AO198" s="7"/>
      <c r="AP198" s="7"/>
      <c r="AQ198" s="7"/>
      <c r="AR198" s="7"/>
      <c r="AS198" s="7"/>
      <c r="AT198" s="7"/>
      <c r="AU198" s="7"/>
    </row>
    <row r="199" spans="1:47" ht="32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8"/>
      <c r="AB199" s="7"/>
      <c r="AC199" s="7"/>
      <c r="AD199" s="7"/>
      <c r="AE199" s="7"/>
      <c r="AF199" s="9"/>
      <c r="AG199" s="9"/>
      <c r="AH199" s="9"/>
      <c r="AI199" s="9"/>
      <c r="AJ199" s="9"/>
      <c r="AK199" s="7"/>
      <c r="AL199" s="10" t="str">
        <f>IF(OR(A199="",COUNT(AF199:AJ199)&lt;5),"",ROUND(SUMPRODUCT(AF199:AJ199,Guia!$B$7:$F$7),1))</f>
        <v/>
      </c>
      <c r="AM199" s="10"/>
      <c r="AN199" s="10"/>
      <c r="AO199" s="7"/>
      <c r="AP199" s="7"/>
      <c r="AQ199" s="7"/>
      <c r="AR199" s="7"/>
      <c r="AS199" s="7"/>
      <c r="AT199" s="7"/>
      <c r="AU199" s="7"/>
    </row>
    <row r="200" spans="1:47" ht="32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8"/>
      <c r="AB200" s="7"/>
      <c r="AC200" s="7"/>
      <c r="AD200" s="7"/>
      <c r="AE200" s="7"/>
      <c r="AF200" s="9"/>
      <c r="AG200" s="9"/>
      <c r="AH200" s="9"/>
      <c r="AI200" s="9"/>
      <c r="AJ200" s="9"/>
      <c r="AK200" s="7"/>
      <c r="AL200" s="10" t="str">
        <f>IF(OR(A200="",COUNT(AF200:AJ200)&lt;5),"",ROUND(SUMPRODUCT(AF200:AJ200,Guia!$B$7:$F$7),1))</f>
        <v/>
      </c>
      <c r="AM200" s="10"/>
      <c r="AN200" s="10"/>
      <c r="AO200" s="7"/>
      <c r="AP200" s="7"/>
      <c r="AQ200" s="7"/>
      <c r="AR200" s="7"/>
      <c r="AS200" s="7"/>
      <c r="AT200" s="7"/>
      <c r="AU200" s="7"/>
    </row>
    <row r="201" spans="1:47" ht="32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8"/>
      <c r="AB201" s="7"/>
      <c r="AC201" s="7"/>
      <c r="AD201" s="7"/>
      <c r="AE201" s="7"/>
      <c r="AF201" s="9"/>
      <c r="AG201" s="9"/>
      <c r="AH201" s="9"/>
      <c r="AI201" s="9"/>
      <c r="AJ201" s="9"/>
      <c r="AK201" s="7"/>
      <c r="AL201" s="10" t="str">
        <f>IF(OR(A201="",COUNT(AF201:AJ201)&lt;5),"",ROUND(SUMPRODUCT(AF201:AJ201,Guia!$B$7:$F$7),1))</f>
        <v/>
      </c>
      <c r="AM201" s="10"/>
      <c r="AN201" s="10"/>
      <c r="AO201" s="7"/>
      <c r="AP201" s="7"/>
      <c r="AQ201" s="7"/>
      <c r="AR201" s="7"/>
      <c r="AS201" s="7"/>
      <c r="AT201" s="7"/>
      <c r="AU201" s="7"/>
    </row>
    <row r="202" spans="1:47" ht="32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8"/>
      <c r="AB202" s="7"/>
      <c r="AC202" s="7"/>
      <c r="AD202" s="7"/>
      <c r="AE202" s="7"/>
      <c r="AF202" s="9"/>
      <c r="AG202" s="9"/>
      <c r="AH202" s="9"/>
      <c r="AI202" s="9"/>
      <c r="AJ202" s="9"/>
      <c r="AK202" s="7"/>
      <c r="AL202" s="10" t="str">
        <f>IF(OR(A202="",COUNT(AF202:AJ202)&lt;5),"",ROUND(SUMPRODUCT(AF202:AJ202,Guia!$B$7:$F$7),1))</f>
        <v/>
      </c>
      <c r="AM202" s="10"/>
      <c r="AN202" s="10"/>
      <c r="AO202" s="7"/>
      <c r="AP202" s="7"/>
      <c r="AQ202" s="7"/>
      <c r="AR202" s="7"/>
      <c r="AS202" s="7"/>
      <c r="AT202" s="7"/>
      <c r="AU202" s="7"/>
    </row>
    <row r="203" spans="1:47" ht="32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8"/>
      <c r="AB203" s="7"/>
      <c r="AC203" s="7"/>
      <c r="AD203" s="7"/>
      <c r="AE203" s="7"/>
      <c r="AF203" s="9"/>
      <c r="AG203" s="9"/>
      <c r="AH203" s="9"/>
      <c r="AI203" s="9"/>
      <c r="AJ203" s="9"/>
      <c r="AK203" s="7"/>
      <c r="AL203" s="10" t="str">
        <f>IF(OR(A203="",COUNT(AF203:AJ203)&lt;5),"",ROUND(SUMPRODUCT(AF203:AJ203,Guia!$B$7:$F$7),1))</f>
        <v/>
      </c>
      <c r="AM203" s="10"/>
      <c r="AN203" s="10"/>
      <c r="AO203" s="7"/>
      <c r="AP203" s="7"/>
      <c r="AQ203" s="7"/>
      <c r="AR203" s="7"/>
      <c r="AS203" s="7"/>
      <c r="AT203" s="7"/>
      <c r="AU203" s="7"/>
    </row>
    <row r="204" spans="1:47" ht="32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8"/>
      <c r="AB204" s="7"/>
      <c r="AC204" s="7"/>
      <c r="AD204" s="7"/>
      <c r="AE204" s="7"/>
      <c r="AF204" s="9"/>
      <c r="AG204" s="9"/>
      <c r="AH204" s="9"/>
      <c r="AI204" s="9"/>
      <c r="AJ204" s="9"/>
      <c r="AK204" s="7"/>
      <c r="AL204" s="10" t="str">
        <f>IF(OR(A204="",COUNT(AF204:AJ204)&lt;5),"",ROUND(SUMPRODUCT(AF204:AJ204,Guia!$B$7:$F$7),1))</f>
        <v/>
      </c>
      <c r="AM204" s="10"/>
      <c r="AN204" s="10"/>
      <c r="AO204" s="7"/>
      <c r="AP204" s="7"/>
      <c r="AQ204" s="7"/>
      <c r="AR204" s="7"/>
      <c r="AS204" s="7"/>
      <c r="AT204" s="7"/>
      <c r="AU204" s="7"/>
    </row>
    <row r="205" spans="1:47" ht="32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8"/>
      <c r="AB205" s="7"/>
      <c r="AC205" s="7"/>
      <c r="AD205" s="7"/>
      <c r="AE205" s="7"/>
      <c r="AF205" s="9"/>
      <c r="AG205" s="9"/>
      <c r="AH205" s="9"/>
      <c r="AI205" s="9"/>
      <c r="AJ205" s="9"/>
      <c r="AK205" s="7"/>
      <c r="AL205" s="10" t="str">
        <f>IF(OR(A205="",COUNT(AF205:AJ205)&lt;5),"",ROUND(SUMPRODUCT(AF205:AJ205,Guia!$B$7:$F$7),1))</f>
        <v/>
      </c>
      <c r="AM205" s="10"/>
      <c r="AN205" s="10"/>
      <c r="AO205" s="7"/>
      <c r="AP205" s="7"/>
      <c r="AQ205" s="7"/>
      <c r="AR205" s="7"/>
      <c r="AS205" s="7"/>
      <c r="AT205" s="7"/>
      <c r="AU205" s="7"/>
    </row>
    <row r="206" spans="1:47" ht="32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8"/>
      <c r="AB206" s="7"/>
      <c r="AC206" s="7"/>
      <c r="AD206" s="7"/>
      <c r="AE206" s="7"/>
      <c r="AF206" s="9"/>
      <c r="AG206" s="9"/>
      <c r="AH206" s="9"/>
      <c r="AI206" s="9"/>
      <c r="AJ206" s="9"/>
      <c r="AK206" s="7"/>
      <c r="AL206" s="10" t="str">
        <f>IF(OR(A206="",COUNT(AF206:AJ206)&lt;5),"",ROUND(SUMPRODUCT(AF206:AJ206,Guia!$B$7:$F$7),1))</f>
        <v/>
      </c>
      <c r="AM206" s="10"/>
      <c r="AN206" s="10"/>
      <c r="AO206" s="7"/>
      <c r="AP206" s="7"/>
      <c r="AQ206" s="7"/>
      <c r="AR206" s="7"/>
      <c r="AS206" s="7"/>
      <c r="AT206" s="7"/>
      <c r="AU206" s="7"/>
    </row>
  </sheetData>
  <phoneticPr fontId="5" type="noConversion"/>
  <conditionalFormatting sqref="AE7:AE206">
    <cfRule type="cellIs" dxfId="5" priority="6" operator="equal">
      <formula>"Bloqueado"</formula>
    </cfRule>
  </conditionalFormatting>
  <conditionalFormatting sqref="AL7:AN206">
    <cfRule type="expression" dxfId="4" priority="3">
      <formula>AND(ISNUMBER(AL7),AL7&lt;5)</formula>
    </cfRule>
    <cfRule type="expression" dxfId="3" priority="4">
      <formula>AND(ISNUMBER(AL7),AL7&gt;=5,AL7&lt;8)</formula>
    </cfRule>
    <cfRule type="expression" dxfId="2" priority="5">
      <formula>AND(ISNUMBER(AL7),AL7&gt;=8)</formula>
    </cfRule>
  </conditionalFormatting>
  <conditionalFormatting sqref="AO7:AU206">
    <cfRule type="cellIs" dxfId="1" priority="1" operator="equal">
      <formula>"Sí"</formula>
    </cfRule>
    <cfRule type="cellIs" dxfId="0" priority="2" operator="equal">
      <formula>"No"</formula>
    </cfRule>
  </conditionalFormatting>
  <dataValidations count="12">
    <dataValidation type="list" sqref="E7:E206" xr:uid="{00000000-0002-0000-0000-000000000000}">
      <formula1>"Restaurante,Bar,Cafetería,Otro"</formula1>
    </dataValidation>
    <dataValidation type="list" sqref="H7:H206" xr:uid="{00000000-0002-0000-0000-000001000000}">
      <formula1>"Dentro,Límite,Fuera,Por confirmar"</formula1>
    </dataValidation>
    <dataValidation type="list" sqref="I7:I206" xr:uid="{00000000-0002-0000-0000-000002000000}">
      <formula1>"Activa con evidencia,Cierre confirmado,Cierre probable,Por confirmar"</formula1>
    </dataValidation>
    <dataValidation type="list" sqref="J7:J206" xr:uid="{00000000-0002-0000-0000-000003000000}">
      <formula1>"Alta,Media,Baja"</formula1>
    </dataValidation>
    <dataValidation type="list" sqref="K7:K206" xr:uid="{00000000-0002-0000-0000-000004000000}">
      <formula1>"Propia,Plataforma,Solo redes,Solo terceros,Dominio inactivo,No localizada,Identidad sin resolver"</formula1>
    </dataValidation>
    <dataValidation type="list" sqref="Y7:Y206" xr:uid="{00000000-0002-0000-0000-000005000000}">
      <formula1>"Claro,Posible,No evidente,No evaluable"</formula1>
    </dataValidation>
    <dataValidation type="list" sqref="AC7:AC206" xr:uid="{00000000-0002-0000-0000-000006000000}">
      <formula1>"Pendiente,Seleccionado,Descartado,Por aclarar"</formula1>
    </dataValidation>
    <dataValidation type="list" sqref="AE7:AE206" xr:uid="{00000000-0002-0000-0000-000007000000}">
      <formula1>"Disponible,En curso,Bloqueado,Requiere revisión,Completado,Excluido"</formula1>
    </dataValidation>
    <dataValidation type="list" sqref="M7:S206" xr:uid="{00000000-0002-0000-0000-000008000000}">
      <formula1>"Sí,No confirmado,No localizado,No aplica"</formula1>
    </dataValidation>
    <dataValidation type="list" sqref="AO7:AU206" xr:uid="{00000000-0002-0000-0000-00000F000000}">
      <formula1>"Sí,No"</formula1>
    </dataValidation>
    <dataValidation type="whole" sqref="AF7:AJ206" xr:uid="{00000000-0002-0000-0000-000016000000}">
      <formula1>1</formula1>
      <formula2>10</formula2>
    </dataValidation>
    <dataValidation type="list" allowBlank="1" showInputMessage="1" showErrorMessage="1" sqref="T7:T206" xr:uid="{F757D0A0-B41F-4AFA-BC53-FDFFD2CDEF2F}">
      <mc:AlternateContent xmlns:x12ac="http://schemas.microsoft.com/office/spreadsheetml/2011/1/ac" xmlns:mc="http://schemas.openxmlformats.org/markup-compatibility/2006">
        <mc:Choice Requires="x12ac">
          <x12ac:list>"Sí,No,Sin información,No aplica"</x12ac:list>
        </mc:Choice>
        <mc:Fallback>
          <formula1>"Sí,No,Sin información,No aplica"</formula1>
        </mc:Fallback>
      </mc:AlternateContent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796A8"/>
  </sheetPr>
  <dimension ref="A1:F31"/>
  <sheetViews>
    <sheetView showGridLines="0" workbookViewId="0"/>
  </sheetViews>
  <sheetFormatPr baseColWidth="10" defaultColWidth="8.6640625" defaultRowHeight="14"/>
  <cols>
    <col min="1" max="1" width="27" customWidth="1"/>
    <col min="2" max="6" width="25" customWidth="1"/>
  </cols>
  <sheetData>
    <row r="1" spans="1:6">
      <c r="A1" s="6"/>
      <c r="B1" s="6"/>
      <c r="C1" s="6"/>
      <c r="D1" s="6"/>
      <c r="E1" s="6"/>
      <c r="F1" s="6"/>
    </row>
    <row r="2" spans="1:6" ht="20">
      <c r="A2" s="11" t="s">
        <v>45</v>
      </c>
      <c r="B2" s="6"/>
      <c r="C2" s="6"/>
      <c r="D2" s="6"/>
      <c r="E2" s="6"/>
      <c r="F2" s="6"/>
    </row>
    <row r="3" spans="1:6">
      <c r="A3" s="6"/>
      <c r="B3" s="6"/>
      <c r="C3" s="6"/>
      <c r="D3" s="6"/>
      <c r="E3" s="6"/>
      <c r="F3" s="6"/>
    </row>
    <row r="4" spans="1:6">
      <c r="A4" s="12" t="s">
        <v>46</v>
      </c>
      <c r="B4" s="6"/>
      <c r="C4" s="6"/>
      <c r="D4" s="6"/>
      <c r="E4" s="6"/>
      <c r="F4" s="6"/>
    </row>
    <row r="5" spans="1:6">
      <c r="A5" s="6"/>
      <c r="B5" s="6"/>
      <c r="C5" s="6"/>
      <c r="D5" s="6"/>
      <c r="E5" s="6"/>
      <c r="F5" s="6"/>
    </row>
    <row r="6" spans="1:6" ht="34" customHeight="1">
      <c r="A6" s="13" t="s">
        <v>47</v>
      </c>
      <c r="B6" s="13" t="s">
        <v>48</v>
      </c>
      <c r="C6" s="13" t="s">
        <v>49</v>
      </c>
      <c r="D6" s="13" t="s">
        <v>50</v>
      </c>
      <c r="E6" s="13" t="s">
        <v>51</v>
      </c>
      <c r="F6" s="13" t="s">
        <v>52</v>
      </c>
    </row>
    <row r="7" spans="1:6">
      <c r="A7" s="6" t="s">
        <v>53</v>
      </c>
      <c r="B7" s="14">
        <v>0.25</v>
      </c>
      <c r="C7" s="14">
        <v>0.3</v>
      </c>
      <c r="D7" s="14">
        <v>0.15</v>
      </c>
      <c r="E7" s="14">
        <v>0.2</v>
      </c>
      <c r="F7" s="14">
        <v>0.1</v>
      </c>
    </row>
    <row r="8" spans="1:6">
      <c r="A8" s="6"/>
      <c r="B8" s="6"/>
      <c r="C8" s="6"/>
      <c r="D8" s="6"/>
      <c r="E8" s="6"/>
      <c r="F8" s="6"/>
    </row>
    <row r="9" spans="1:6" ht="30" customHeight="1">
      <c r="A9" s="15" t="s">
        <v>54</v>
      </c>
      <c r="B9" s="15" t="s">
        <v>48</v>
      </c>
      <c r="C9" s="15" t="s">
        <v>49</v>
      </c>
      <c r="D9" s="15" t="s">
        <v>50</v>
      </c>
      <c r="E9" s="15" t="s">
        <v>51</v>
      </c>
      <c r="F9" s="15" t="s">
        <v>52</v>
      </c>
    </row>
    <row r="10" spans="1:6" ht="50" customHeight="1">
      <c r="A10" s="7" t="s">
        <v>55</v>
      </c>
      <c r="B10" s="7" t="s">
        <v>56</v>
      </c>
      <c r="C10" s="7" t="s">
        <v>57</v>
      </c>
      <c r="D10" s="7" t="s">
        <v>58</v>
      </c>
      <c r="E10" s="7" t="s">
        <v>59</v>
      </c>
      <c r="F10" s="7" t="s">
        <v>60</v>
      </c>
    </row>
    <row r="11" spans="1:6" ht="50" customHeight="1">
      <c r="A11" s="7" t="s">
        <v>61</v>
      </c>
      <c r="B11" s="7" t="s">
        <v>62</v>
      </c>
      <c r="C11" s="7" t="s">
        <v>63</v>
      </c>
      <c r="D11" s="7" t="s">
        <v>64</v>
      </c>
      <c r="E11" s="7" t="s">
        <v>65</v>
      </c>
      <c r="F11" s="7" t="s">
        <v>66</v>
      </c>
    </row>
    <row r="12" spans="1:6" ht="50" customHeight="1">
      <c r="A12" s="7" t="s">
        <v>67</v>
      </c>
      <c r="B12" s="7" t="s">
        <v>68</v>
      </c>
      <c r="C12" s="7" t="s">
        <v>69</v>
      </c>
      <c r="D12" s="7" t="s">
        <v>70</v>
      </c>
      <c r="E12" s="7" t="s">
        <v>71</v>
      </c>
      <c r="F12" s="7" t="s">
        <v>72</v>
      </c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 ht="28" customHeight="1">
      <c r="A15" s="12" t="s">
        <v>73</v>
      </c>
      <c r="B15" s="6" t="s">
        <v>74</v>
      </c>
      <c r="C15" s="6"/>
      <c r="D15" s="6"/>
      <c r="E15" s="6"/>
      <c r="F15" s="6"/>
    </row>
    <row r="16" spans="1:6" ht="28" customHeight="1">
      <c r="A16" s="12" t="s">
        <v>75</v>
      </c>
      <c r="B16" s="6" t="s">
        <v>76</v>
      </c>
      <c r="C16" s="6"/>
      <c r="D16" s="6"/>
      <c r="E16" s="6"/>
      <c r="F16" s="6"/>
    </row>
    <row r="17" spans="1:6" ht="28" customHeight="1">
      <c r="A17" s="12" t="s">
        <v>77</v>
      </c>
      <c r="B17" s="6" t="s">
        <v>78</v>
      </c>
      <c r="C17" s="6"/>
      <c r="D17" s="6"/>
      <c r="E17" s="6"/>
      <c r="F17" s="6"/>
    </row>
    <row r="18" spans="1:6" ht="28" customHeight="1">
      <c r="A18" s="12" t="s">
        <v>79</v>
      </c>
      <c r="B18" s="6" t="s">
        <v>80</v>
      </c>
      <c r="C18" s="6"/>
      <c r="D18" s="6"/>
      <c r="E18" s="6"/>
      <c r="F18" s="6"/>
    </row>
    <row r="19" spans="1:6" ht="28" customHeight="1">
      <c r="A19" s="12" t="s">
        <v>81</v>
      </c>
      <c r="B19" s="6" t="s">
        <v>82</v>
      </c>
      <c r="C19" s="6"/>
      <c r="D19" s="6"/>
      <c r="E19" s="6"/>
      <c r="F19" s="6"/>
    </row>
    <row r="20" spans="1:6" ht="28" customHeight="1">
      <c r="A20" s="12" t="s">
        <v>83</v>
      </c>
      <c r="B20" s="6" t="s">
        <v>84</v>
      </c>
      <c r="C20" s="6"/>
      <c r="D20" s="6"/>
      <c r="E20" s="6"/>
      <c r="F20" s="6"/>
    </row>
    <row r="21" spans="1:6" ht="28" customHeight="1">
      <c r="A21" s="12" t="s">
        <v>85</v>
      </c>
      <c r="B21" s="6" t="s">
        <v>86</v>
      </c>
      <c r="C21" s="6"/>
      <c r="D21" s="6"/>
      <c r="E21" s="6"/>
      <c r="F21" s="6"/>
    </row>
    <row r="22" spans="1:6" ht="28" customHeight="1">
      <c r="A22" s="12" t="s">
        <v>87</v>
      </c>
      <c r="B22" s="6" t="s">
        <v>88</v>
      </c>
      <c r="C22" s="6"/>
      <c r="D22" s="6"/>
      <c r="E22" s="6"/>
      <c r="F22" s="6"/>
    </row>
    <row r="23" spans="1:6" ht="28" customHeight="1">
      <c r="A23" s="12" t="s">
        <v>89</v>
      </c>
      <c r="B23" s="6" t="s">
        <v>90</v>
      </c>
      <c r="C23" s="6"/>
      <c r="D23" s="6"/>
      <c r="E23" s="6"/>
      <c r="F23" s="6"/>
    </row>
    <row r="24" spans="1:6" ht="28" customHeight="1">
      <c r="A24" s="12" t="s">
        <v>91</v>
      </c>
      <c r="B24" s="6" t="s">
        <v>92</v>
      </c>
      <c r="C24" s="6"/>
      <c r="D24" s="6"/>
      <c r="E24" s="6"/>
      <c r="F24" s="6"/>
    </row>
    <row r="25" spans="1:6" ht="28" customHeight="1">
      <c r="A25" s="12" t="s">
        <v>93</v>
      </c>
      <c r="B25" s="6" t="s">
        <v>94</v>
      </c>
      <c r="C25" s="6"/>
      <c r="D25" s="6"/>
      <c r="E25" s="6"/>
      <c r="F25" s="6"/>
    </row>
    <row r="26" spans="1:6" ht="28" customHeight="1">
      <c r="A26" s="12" t="s">
        <v>95</v>
      </c>
      <c r="B26" s="6" t="s">
        <v>96</v>
      </c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35b67c-bf48-4671-b1a1-da444c1bef66}" enabled="0" method="" siteId="{b235b67c-bf48-4671-b1a1-da444c1bef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Negocios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Arana Guerra, Iñigo</cp:lastModifiedBy>
  <dcterms:modified xsi:type="dcterms:W3CDTF">2026-09-28T19:00:08Z</dcterms:modified>
</cp:coreProperties>
</file>